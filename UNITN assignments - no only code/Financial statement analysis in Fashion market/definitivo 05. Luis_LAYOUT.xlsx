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osf\Desktop\UNIBZ\Adv financial statement analysis\Gruppo\LAVORO\"/>
    </mc:Choice>
  </mc:AlternateContent>
  <xr:revisionPtr revIDLastSave="0" documentId="13_ncr:1_{BA0C470C-3B24-4EA8-9FAC-06842B4D254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Export original" sheetId="1" state="hidden" r:id="rId1"/>
    <sheet name="Balance sheet" sheetId="2" state="hidden" r:id="rId2"/>
    <sheet name="Original statements" sheetId="13" r:id="rId3"/>
    <sheet name="Reformulated balance sheet" sheetId="3" r:id="rId4"/>
    <sheet name="Reformulated Income statement" sheetId="4" r:id="rId5"/>
    <sheet name="Cash flow" sheetId="11" r:id="rId6"/>
    <sheet name="Ratio" sheetId="12" r:id="rId7"/>
    <sheet name="Income statement" sheetId="6" state="hidden" r:id="rId8"/>
    <sheet name="Ratios" sheetId="7" state="hidden" r:id="rId9"/>
  </sheets>
  <externalReferences>
    <externalReference r:id="rId10"/>
  </externalReferenc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PlKwY+FOCKnsKDaM+GfepnzXy15lgiHKuEujy0F59V4="/>
    </ext>
  </extLst>
</workbook>
</file>

<file path=xl/calcChain.xml><?xml version="1.0" encoding="utf-8"?>
<calcChain xmlns="http://schemas.openxmlformats.org/spreadsheetml/2006/main">
  <c r="C15" i="13" l="1"/>
  <c r="H157" i="12"/>
  <c r="G157" i="12"/>
  <c r="F157" i="12"/>
  <c r="E4" i="12" l="1"/>
  <c r="F4" i="12"/>
  <c r="G4" i="12"/>
  <c r="H4" i="12"/>
  <c r="E5" i="12"/>
  <c r="F5" i="12"/>
  <c r="G5" i="12"/>
  <c r="H5" i="12"/>
  <c r="E7" i="12"/>
  <c r="F7" i="12"/>
  <c r="F12" i="12" s="1"/>
  <c r="G7" i="12"/>
  <c r="H7" i="12"/>
  <c r="H12" i="12" s="1"/>
  <c r="E8" i="12"/>
  <c r="F8" i="12"/>
  <c r="G8" i="12"/>
  <c r="H8" i="12"/>
  <c r="E10" i="12"/>
  <c r="F10" i="12"/>
  <c r="F15" i="12" s="1"/>
  <c r="G10" i="12"/>
  <c r="H10" i="12"/>
  <c r="E16" i="12"/>
  <c r="F16" i="12"/>
  <c r="G16" i="12"/>
  <c r="H16" i="12"/>
  <c r="E17" i="12"/>
  <c r="F17" i="12"/>
  <c r="G17" i="12"/>
  <c r="H17" i="12"/>
  <c r="E18" i="12"/>
  <c r="F18" i="12"/>
  <c r="G18" i="12"/>
  <c r="H18" i="12"/>
  <c r="E22" i="12"/>
  <c r="F22" i="12"/>
  <c r="G22" i="12"/>
  <c r="H22" i="12"/>
  <c r="E23" i="12"/>
  <c r="F23" i="12"/>
  <c r="G23" i="12"/>
  <c r="H23" i="12"/>
  <c r="E25" i="12"/>
  <c r="F25" i="12"/>
  <c r="F47" i="12" s="1"/>
  <c r="G25" i="12"/>
  <c r="H25" i="12"/>
  <c r="E27" i="12"/>
  <c r="F27" i="12"/>
  <c r="G27" i="12"/>
  <c r="G83" i="12" s="1"/>
  <c r="H27" i="12"/>
  <c r="E28" i="12"/>
  <c r="F28" i="12"/>
  <c r="G28" i="12"/>
  <c r="H28" i="12"/>
  <c r="E29" i="12"/>
  <c r="F29" i="12"/>
  <c r="G29" i="12"/>
  <c r="G151" i="12" s="1"/>
  <c r="H29" i="12"/>
  <c r="H151" i="12" s="1"/>
  <c r="E30" i="12"/>
  <c r="F30" i="12"/>
  <c r="G30" i="12"/>
  <c r="H30" i="12"/>
  <c r="E31" i="12"/>
  <c r="F31" i="12"/>
  <c r="G31" i="12"/>
  <c r="H31" i="12"/>
  <c r="E32" i="12"/>
  <c r="F32" i="12"/>
  <c r="G32" i="12"/>
  <c r="H32" i="12"/>
  <c r="E33" i="12"/>
  <c r="F33" i="12"/>
  <c r="G33" i="12"/>
  <c r="H33" i="12"/>
  <c r="E35" i="12"/>
  <c r="F35" i="12"/>
  <c r="G35" i="12"/>
  <c r="H35" i="12"/>
  <c r="E36" i="12"/>
  <c r="F36" i="12"/>
  <c r="G36" i="12"/>
  <c r="H36" i="12"/>
  <c r="F39" i="12"/>
  <c r="G39" i="12"/>
  <c r="H39" i="12"/>
  <c r="H140" i="12"/>
  <c r="G140" i="12"/>
  <c r="F140" i="12"/>
  <c r="E140" i="12"/>
  <c r="H139" i="12"/>
  <c r="O138" i="12" s="1"/>
  <c r="G139" i="12"/>
  <c r="N138" i="12" s="1"/>
  <c r="F139" i="12"/>
  <c r="M138" i="12" s="1"/>
  <c r="E139" i="12"/>
  <c r="H138" i="12"/>
  <c r="G138" i="12"/>
  <c r="F138" i="12"/>
  <c r="E138" i="12"/>
  <c r="H137" i="12"/>
  <c r="G137" i="12"/>
  <c r="F137" i="12"/>
  <c r="E137" i="12"/>
  <c r="H136" i="12"/>
  <c r="G136" i="12"/>
  <c r="F136" i="12"/>
  <c r="E136" i="12"/>
  <c r="H133" i="12"/>
  <c r="G133" i="12"/>
  <c r="F133" i="12"/>
  <c r="E133" i="12"/>
  <c r="H132" i="12"/>
  <c r="G132" i="12"/>
  <c r="F132" i="12"/>
  <c r="E132" i="12"/>
  <c r="H130" i="12"/>
  <c r="H167" i="12" s="1"/>
  <c r="G130" i="12"/>
  <c r="G167" i="12" s="1"/>
  <c r="F130" i="12"/>
  <c r="F167" i="12" s="1"/>
  <c r="E130" i="12"/>
  <c r="H129" i="12"/>
  <c r="G129" i="12"/>
  <c r="F129" i="12"/>
  <c r="E129" i="12"/>
  <c r="H128" i="12"/>
  <c r="G128" i="12"/>
  <c r="F128" i="12"/>
  <c r="E128" i="12"/>
  <c r="H127" i="12"/>
  <c r="G127" i="12"/>
  <c r="F127" i="12"/>
  <c r="E127" i="12"/>
  <c r="H126" i="12"/>
  <c r="G126" i="12"/>
  <c r="F126" i="12"/>
  <c r="E126" i="12"/>
  <c r="H125" i="12"/>
  <c r="G125" i="12"/>
  <c r="F125" i="12"/>
  <c r="E125" i="12"/>
  <c r="H124" i="12"/>
  <c r="G124" i="12"/>
  <c r="F124" i="12"/>
  <c r="E124" i="12"/>
  <c r="H123" i="12"/>
  <c r="G123" i="12"/>
  <c r="F123" i="12"/>
  <c r="E123" i="12"/>
  <c r="T37" i="11"/>
  <c r="S37" i="11"/>
  <c r="R37" i="11"/>
  <c r="Q37" i="11"/>
  <c r="T35" i="11"/>
  <c r="S35" i="11"/>
  <c r="S30" i="11" s="1"/>
  <c r="R35" i="11"/>
  <c r="Q35" i="11"/>
  <c r="Q30" i="11" s="1"/>
  <c r="T27" i="11"/>
  <c r="S27" i="11"/>
  <c r="R27" i="11"/>
  <c r="Q27" i="11"/>
  <c r="T26" i="11"/>
  <c r="S26" i="11"/>
  <c r="R26" i="11"/>
  <c r="Q26" i="11"/>
  <c r="T25" i="11"/>
  <c r="S25" i="11"/>
  <c r="R25" i="11"/>
  <c r="Q25" i="11"/>
  <c r="T24" i="11"/>
  <c r="T28" i="11" s="1"/>
  <c r="S24" i="11"/>
  <c r="S28" i="11" s="1"/>
  <c r="R24" i="11"/>
  <c r="Q24" i="11"/>
  <c r="Q28" i="11" s="1"/>
  <c r="T21" i="11"/>
  <c r="S21" i="11"/>
  <c r="R21" i="11"/>
  <c r="Q21" i="11"/>
  <c r="T20" i="11"/>
  <c r="S20" i="11"/>
  <c r="R20" i="11"/>
  <c r="Q20" i="11"/>
  <c r="T19" i="11"/>
  <c r="T22" i="11" s="1"/>
  <c r="S19" i="11"/>
  <c r="S22" i="11" s="1"/>
  <c r="R19" i="11"/>
  <c r="R22" i="11" s="1"/>
  <c r="Q19" i="11"/>
  <c r="Q22" i="11" s="1"/>
  <c r="T16" i="11"/>
  <c r="S16" i="11"/>
  <c r="R16" i="11"/>
  <c r="Q16" i="11"/>
  <c r="T15" i="11"/>
  <c r="S15" i="11"/>
  <c r="R15" i="11"/>
  <c r="Q15" i="11"/>
  <c r="T13" i="11"/>
  <c r="S13" i="11"/>
  <c r="R13" i="11"/>
  <c r="Q13" i="11"/>
  <c r="T12" i="11"/>
  <c r="S12" i="11"/>
  <c r="R12" i="11"/>
  <c r="Q12" i="11"/>
  <c r="T11" i="11"/>
  <c r="S11" i="11"/>
  <c r="R11" i="11"/>
  <c r="Q11" i="11"/>
  <c r="T10" i="11"/>
  <c r="S10" i="11"/>
  <c r="R10" i="11"/>
  <c r="Q10" i="11"/>
  <c r="T8" i="11"/>
  <c r="S8" i="11"/>
  <c r="R8" i="11"/>
  <c r="Q8" i="11"/>
  <c r="T7" i="11"/>
  <c r="S7" i="11"/>
  <c r="R7" i="11"/>
  <c r="Q7" i="11"/>
  <c r="F187" i="12" l="1"/>
  <c r="G46" i="12"/>
  <c r="G12" i="12"/>
  <c r="G92" i="12" s="1"/>
  <c r="H37" i="12"/>
  <c r="H115" i="12" s="1"/>
  <c r="H47" i="12"/>
  <c r="H21" i="12"/>
  <c r="E6" i="12"/>
  <c r="F13" i="12"/>
  <c r="F90" i="12" s="1"/>
  <c r="F38" i="12"/>
  <c r="G6" i="12"/>
  <c r="G20" i="12"/>
  <c r="G106" i="12" s="1"/>
  <c r="G109" i="12" s="1"/>
  <c r="G86" i="12"/>
  <c r="H6" i="12"/>
  <c r="G13" i="12"/>
  <c r="G90" i="12" s="1"/>
  <c r="H135" i="12"/>
  <c r="H165" i="12" s="1"/>
  <c r="H48" i="12"/>
  <c r="H15" i="12"/>
  <c r="H61" i="12" s="1"/>
  <c r="G116" i="12"/>
  <c r="G15" i="12"/>
  <c r="G56" i="12" s="1"/>
  <c r="G135" i="12"/>
  <c r="G165" i="12" s="1"/>
  <c r="F6" i="12"/>
  <c r="F166" i="12"/>
  <c r="H38" i="12"/>
  <c r="H9" i="12"/>
  <c r="F135" i="12"/>
  <c r="F165" i="12" s="1"/>
  <c r="F48" i="12"/>
  <c r="F19" i="12"/>
  <c r="F105" i="12" s="1"/>
  <c r="F108" i="12" s="1"/>
  <c r="E9" i="12"/>
  <c r="H160" i="12"/>
  <c r="H19" i="12"/>
  <c r="H105" i="12" s="1"/>
  <c r="H108" i="12" s="1"/>
  <c r="E38" i="12"/>
  <c r="G48" i="12"/>
  <c r="G9" i="12"/>
  <c r="F9" i="12"/>
  <c r="F86" i="12"/>
  <c r="G37" i="12"/>
  <c r="G115" i="12" s="1"/>
  <c r="G21" i="12"/>
  <c r="G107" i="12" s="1"/>
  <c r="G110" i="12" s="1"/>
  <c r="F21" i="12"/>
  <c r="F107" i="12" s="1"/>
  <c r="F110" i="12" s="1"/>
  <c r="F116" i="12"/>
  <c r="G166" i="12"/>
  <c r="H13" i="12"/>
  <c r="H90" i="12" s="1"/>
  <c r="H24" i="12"/>
  <c r="H102" i="12" s="1"/>
  <c r="H166" i="12"/>
  <c r="F185" i="12"/>
  <c r="G24" i="12"/>
  <c r="F20" i="12"/>
  <c r="F106" i="12" s="1"/>
  <c r="F109" i="12" s="1"/>
  <c r="G47" i="12"/>
  <c r="E135" i="12"/>
  <c r="F24" i="12"/>
  <c r="H131" i="12"/>
  <c r="F114" i="12"/>
  <c r="G160" i="12"/>
  <c r="F37" i="12"/>
  <c r="F115" i="12" s="1"/>
  <c r="E24" i="12"/>
  <c r="G19" i="12"/>
  <c r="G105" i="12" s="1"/>
  <c r="G108" i="12" s="1"/>
  <c r="H46" i="12"/>
  <c r="G187" i="12"/>
  <c r="H20" i="12"/>
  <c r="H106" i="12" s="1"/>
  <c r="H109" i="12" s="1"/>
  <c r="F152" i="12"/>
  <c r="G38" i="12"/>
  <c r="F46" i="12"/>
  <c r="G180" i="12"/>
  <c r="G185" i="12"/>
  <c r="G153" i="12"/>
  <c r="G152" i="12"/>
  <c r="G60" i="12"/>
  <c r="F184" i="12"/>
  <c r="G159" i="12"/>
  <c r="G158" i="12"/>
  <c r="H184" i="12"/>
  <c r="H159" i="12"/>
  <c r="H158" i="12"/>
  <c r="F134" i="12"/>
  <c r="F160" i="12"/>
  <c r="H107" i="12"/>
  <c r="H110" i="12" s="1"/>
  <c r="F61" i="12"/>
  <c r="H86" i="12"/>
  <c r="H187" i="12"/>
  <c r="H114" i="12"/>
  <c r="F182" i="12"/>
  <c r="H180" i="12"/>
  <c r="G186" i="12"/>
  <c r="H92" i="12"/>
  <c r="F60" i="12"/>
  <c r="F83" i="12"/>
  <c r="G182" i="12"/>
  <c r="F169" i="12"/>
  <c r="F159" i="12"/>
  <c r="G184" i="12"/>
  <c r="G59" i="12"/>
  <c r="G134" i="12"/>
  <c r="H182" i="12"/>
  <c r="F92" i="12"/>
  <c r="H58" i="12"/>
  <c r="F113" i="12"/>
  <c r="F131" i="12"/>
  <c r="H134" i="12"/>
  <c r="F158" i="12"/>
  <c r="G113" i="12"/>
  <c r="G131" i="12"/>
  <c r="H186" i="12"/>
  <c r="H116" i="12"/>
  <c r="F153" i="12"/>
  <c r="F186" i="12"/>
  <c r="H113" i="12"/>
  <c r="G169" i="12"/>
  <c r="G58" i="12"/>
  <c r="G114" i="12"/>
  <c r="F150" i="12"/>
  <c r="F183" i="12"/>
  <c r="H83" i="12"/>
  <c r="G150" i="12"/>
  <c r="G183" i="12"/>
  <c r="H185" i="12"/>
  <c r="H169" i="12"/>
  <c r="F59" i="12"/>
  <c r="H150" i="12"/>
  <c r="H183" i="12"/>
  <c r="H153" i="12"/>
  <c r="F151" i="12"/>
  <c r="F180" i="12"/>
  <c r="H60" i="12"/>
  <c r="H59" i="12"/>
  <c r="H152" i="12"/>
  <c r="F58" i="12"/>
  <c r="S17" i="11"/>
  <c r="S31" i="11" s="1"/>
  <c r="T17" i="11"/>
  <c r="T30" i="11"/>
  <c r="T32" i="11" s="1"/>
  <c r="T33" i="11" s="1"/>
  <c r="T36" i="11" s="1"/>
  <c r="Q17" i="11"/>
  <c r="R30" i="11"/>
  <c r="R28" i="11"/>
  <c r="R17" i="11"/>
  <c r="T31" i="11"/>
  <c r="Q31" i="11"/>
  <c r="G61" i="12" l="1"/>
  <c r="H49" i="12"/>
  <c r="F14" i="12"/>
  <c r="F93" i="12" s="1"/>
  <c r="G11" i="12"/>
  <c r="G70" i="12" s="1"/>
  <c r="H11" i="12"/>
  <c r="H85" i="12" s="1"/>
  <c r="F49" i="12"/>
  <c r="F111" i="12"/>
  <c r="F112" i="12" s="1"/>
  <c r="F11" i="12"/>
  <c r="G49" i="12"/>
  <c r="H149" i="12"/>
  <c r="H56" i="12"/>
  <c r="G14" i="12"/>
  <c r="G72" i="12" s="1"/>
  <c r="M139" i="12"/>
  <c r="M140" i="12" s="1"/>
  <c r="F141" i="12" s="1"/>
  <c r="F168" i="12" s="1"/>
  <c r="F170" i="12" s="1"/>
  <c r="N139" i="12"/>
  <c r="N140" i="12" s="1"/>
  <c r="G141" i="12" s="1"/>
  <c r="G168" i="12" s="1"/>
  <c r="G170" i="12" s="1"/>
  <c r="F148" i="12"/>
  <c r="H14" i="12"/>
  <c r="F181" i="12"/>
  <c r="F189" i="12" s="1"/>
  <c r="F56" i="12"/>
  <c r="F149" i="12"/>
  <c r="H111" i="12"/>
  <c r="H112" i="12" s="1"/>
  <c r="G149" i="12"/>
  <c r="G148" i="12"/>
  <c r="G111" i="12"/>
  <c r="G112" i="12" s="1"/>
  <c r="H148" i="12"/>
  <c r="H87" i="12"/>
  <c r="H70" i="12"/>
  <c r="O139" i="12"/>
  <c r="O140" i="12" s="1"/>
  <c r="H141" i="12" s="1"/>
  <c r="H168" i="12" s="1"/>
  <c r="H170" i="12" s="1"/>
  <c r="H181" i="12"/>
  <c r="H189" i="12" s="1"/>
  <c r="G102" i="12"/>
  <c r="F102" i="12"/>
  <c r="G181" i="12"/>
  <c r="G189" i="12" s="1"/>
  <c r="S32" i="11"/>
  <c r="S33" i="11"/>
  <c r="S36" i="11" s="1"/>
  <c r="R31" i="11"/>
  <c r="Q32" i="11"/>
  <c r="Q33" i="11" s="1"/>
  <c r="Q36" i="11" s="1"/>
  <c r="F72" i="12" l="1"/>
  <c r="G87" i="12"/>
  <c r="G85" i="12"/>
  <c r="G57" i="12"/>
  <c r="F71" i="12"/>
  <c r="F91" i="12"/>
  <c r="H57" i="12"/>
  <c r="F85" i="12"/>
  <c r="F70" i="12"/>
  <c r="F73" i="12" s="1"/>
  <c r="F57" i="12"/>
  <c r="F87" i="12"/>
  <c r="G93" i="12"/>
  <c r="G91" i="12"/>
  <c r="G71" i="12"/>
  <c r="G73" i="12" s="1"/>
  <c r="H71" i="12"/>
  <c r="H73" i="12" s="1"/>
  <c r="H72" i="12"/>
  <c r="H91" i="12"/>
  <c r="H93" i="12"/>
  <c r="R32" i="11"/>
  <c r="R33" i="11" s="1"/>
  <c r="R36" i="11" s="1"/>
  <c r="F74" i="12" l="1"/>
  <c r="G69" i="12"/>
  <c r="F69" i="12"/>
  <c r="G74" i="12"/>
  <c r="H69" i="12"/>
  <c r="H74" i="12"/>
  <c r="T88" i="4"/>
  <c r="T89" i="4"/>
  <c r="T90" i="4"/>
  <c r="T91" i="4"/>
  <c r="T92" i="4"/>
  <c r="T93" i="4"/>
  <c r="T95" i="4"/>
  <c r="T87" i="4"/>
  <c r="S89" i="4"/>
  <c r="S90" i="4"/>
  <c r="S91" i="4"/>
  <c r="S92" i="4"/>
  <c r="S93" i="4"/>
  <c r="S95" i="4"/>
  <c r="S87" i="4"/>
  <c r="S88" i="4"/>
  <c r="R87" i="4"/>
  <c r="R88" i="4"/>
  <c r="Q87" i="4"/>
  <c r="Q88" i="4"/>
  <c r="R89" i="4"/>
  <c r="Q90" i="4"/>
  <c r="R90" i="4"/>
  <c r="Q91" i="4"/>
  <c r="R91" i="4"/>
  <c r="Q92" i="4"/>
  <c r="R92" i="4"/>
  <c r="Q93" i="4"/>
  <c r="R93" i="4"/>
  <c r="Q95" i="4"/>
  <c r="R95" i="4"/>
  <c r="Q56" i="4"/>
  <c r="R100" i="3"/>
  <c r="S100" i="3"/>
  <c r="T100" i="3"/>
  <c r="R101" i="3"/>
  <c r="S101" i="3"/>
  <c r="T101" i="3"/>
  <c r="R102" i="3"/>
  <c r="S102" i="3"/>
  <c r="T102" i="3"/>
  <c r="R103" i="3"/>
  <c r="S103" i="3"/>
  <c r="T103" i="3"/>
  <c r="R104" i="3"/>
  <c r="S104" i="3"/>
  <c r="T104" i="3"/>
  <c r="R105" i="3"/>
  <c r="S105" i="3"/>
  <c r="T105" i="3"/>
  <c r="R106" i="3"/>
  <c r="S106" i="3"/>
  <c r="T106" i="3"/>
  <c r="S99" i="3"/>
  <c r="T99" i="3"/>
  <c r="R99" i="3"/>
  <c r="R60" i="3"/>
  <c r="S60" i="3"/>
  <c r="T60" i="3"/>
  <c r="R61" i="3"/>
  <c r="S61" i="3"/>
  <c r="T61" i="3"/>
  <c r="R62" i="3"/>
  <c r="S62" i="3"/>
  <c r="T62" i="3"/>
  <c r="R63" i="3"/>
  <c r="S63" i="3"/>
  <c r="T63" i="3"/>
  <c r="R64" i="3"/>
  <c r="S64" i="3"/>
  <c r="T64" i="3"/>
  <c r="R66" i="3"/>
  <c r="S66" i="3"/>
  <c r="T66" i="3"/>
  <c r="R67" i="3"/>
  <c r="S67" i="3"/>
  <c r="T67" i="3"/>
  <c r="R69" i="3"/>
  <c r="S69" i="3"/>
  <c r="T69" i="3"/>
  <c r="R70" i="3"/>
  <c r="S70" i="3"/>
  <c r="T70" i="3"/>
  <c r="R71" i="3"/>
  <c r="S71" i="3"/>
  <c r="T71" i="3"/>
  <c r="R74" i="3"/>
  <c r="S74" i="3"/>
  <c r="T74" i="3"/>
  <c r="R75" i="3"/>
  <c r="S75" i="3"/>
  <c r="T75" i="3"/>
  <c r="R76" i="3"/>
  <c r="S76" i="3"/>
  <c r="T76" i="3"/>
  <c r="R77" i="3"/>
  <c r="S77" i="3"/>
  <c r="T77" i="3"/>
  <c r="R78" i="3"/>
  <c r="S78" i="3"/>
  <c r="T78" i="3"/>
  <c r="R79" i="3"/>
  <c r="S79" i="3"/>
  <c r="T79" i="3"/>
  <c r="R81" i="3"/>
  <c r="S81" i="3"/>
  <c r="T81" i="3"/>
  <c r="R84" i="3"/>
  <c r="S84" i="3"/>
  <c r="T84" i="3"/>
  <c r="R85" i="3"/>
  <c r="S85" i="3"/>
  <c r="T85" i="3"/>
  <c r="R86" i="3"/>
  <c r="S86" i="3"/>
  <c r="T86" i="3"/>
  <c r="R87" i="3"/>
  <c r="S87" i="3"/>
  <c r="T87" i="3"/>
  <c r="R89" i="3"/>
  <c r="S89" i="3"/>
  <c r="T89" i="3"/>
  <c r="R90" i="3"/>
  <c r="S90" i="3"/>
  <c r="T90" i="3"/>
  <c r="R91" i="3"/>
  <c r="S91" i="3"/>
  <c r="T91" i="3"/>
  <c r="R92" i="3"/>
  <c r="S92" i="3"/>
  <c r="T92" i="3"/>
  <c r="R93" i="3"/>
  <c r="S93" i="3"/>
  <c r="T93" i="3"/>
  <c r="S59" i="3"/>
  <c r="T59" i="3"/>
  <c r="R59" i="3"/>
  <c r="S81" i="4"/>
  <c r="R81" i="4"/>
  <c r="Q81" i="4"/>
  <c r="Q57" i="4"/>
  <c r="R57" i="4"/>
  <c r="S57" i="4"/>
  <c r="Q58" i="4"/>
  <c r="R58" i="4"/>
  <c r="S58" i="4"/>
  <c r="Q59" i="4"/>
  <c r="R59" i="4"/>
  <c r="S59" i="4"/>
  <c r="Q60" i="4"/>
  <c r="R60" i="4"/>
  <c r="S60" i="4"/>
  <c r="Q61" i="4"/>
  <c r="R61" i="4"/>
  <c r="S61" i="4"/>
  <c r="Q62" i="4"/>
  <c r="R62" i="4"/>
  <c r="S62" i="4"/>
  <c r="Q63" i="4"/>
  <c r="R63" i="4"/>
  <c r="S63" i="4"/>
  <c r="Q64" i="4"/>
  <c r="R64" i="4"/>
  <c r="S64" i="4"/>
  <c r="Q65" i="4"/>
  <c r="R65" i="4"/>
  <c r="S65" i="4"/>
  <c r="Q66" i="4"/>
  <c r="R66" i="4"/>
  <c r="S66" i="4"/>
  <c r="Q67" i="4"/>
  <c r="R67" i="4"/>
  <c r="S67" i="4"/>
  <c r="Q68" i="4"/>
  <c r="R68" i="4"/>
  <c r="S68" i="4"/>
  <c r="Q69" i="4"/>
  <c r="R69" i="4"/>
  <c r="S69" i="4"/>
  <c r="Q70" i="4"/>
  <c r="R70" i="4"/>
  <c r="S70" i="4"/>
  <c r="Q71" i="4"/>
  <c r="R71" i="4"/>
  <c r="S71" i="4"/>
  <c r="Q72" i="4"/>
  <c r="R72" i="4"/>
  <c r="S72" i="4"/>
  <c r="Q73" i="4"/>
  <c r="R73" i="4"/>
  <c r="S73" i="4"/>
  <c r="Q75" i="4"/>
  <c r="R75" i="4"/>
  <c r="S75" i="4"/>
  <c r="Q76" i="4"/>
  <c r="R76" i="4"/>
  <c r="S76" i="4"/>
  <c r="Q77" i="4"/>
  <c r="R77" i="4"/>
  <c r="S77" i="4"/>
  <c r="R56" i="4"/>
  <c r="S56" i="4"/>
  <c r="Q31" i="4"/>
  <c r="R31" i="4"/>
  <c r="S31" i="4"/>
  <c r="Q32" i="4"/>
  <c r="R32" i="4"/>
  <c r="S32" i="4"/>
  <c r="Q33" i="4"/>
  <c r="R33" i="4"/>
  <c r="S33" i="4"/>
  <c r="Q34" i="4"/>
  <c r="R34" i="4"/>
  <c r="S34" i="4"/>
  <c r="Q35" i="4"/>
  <c r="R35" i="4"/>
  <c r="S35" i="4"/>
  <c r="Q36" i="4"/>
  <c r="R36" i="4"/>
  <c r="S36" i="4"/>
  <c r="Q37" i="4"/>
  <c r="R37" i="4"/>
  <c r="S37" i="4"/>
  <c r="Q38" i="4"/>
  <c r="R38" i="4"/>
  <c r="S38" i="4"/>
  <c r="Q39" i="4"/>
  <c r="R39" i="4"/>
  <c r="S39" i="4"/>
  <c r="Q40" i="4"/>
  <c r="R40" i="4"/>
  <c r="S40" i="4"/>
  <c r="Q41" i="4"/>
  <c r="R41" i="4"/>
  <c r="S41" i="4"/>
  <c r="Q43" i="4"/>
  <c r="R43" i="4"/>
  <c r="S43" i="4"/>
  <c r="Q44" i="4"/>
  <c r="R44" i="4"/>
  <c r="S44" i="4"/>
  <c r="Q45" i="4"/>
  <c r="R45" i="4"/>
  <c r="S45" i="4"/>
  <c r="R30" i="4"/>
  <c r="S30" i="4"/>
  <c r="Q30" i="4"/>
  <c r="D21" i="3"/>
  <c r="C74" i="4"/>
  <c r="J60" i="4"/>
  <c r="B60" i="4"/>
  <c r="C42" i="4"/>
  <c r="B41" i="4"/>
  <c r="B73" i="4" s="1"/>
  <c r="B34" i="4"/>
  <c r="J34" i="4" s="1"/>
  <c r="G20" i="4"/>
  <c r="G44" i="4" s="1"/>
  <c r="F20" i="4"/>
  <c r="F44" i="4" s="1"/>
  <c r="E20" i="4"/>
  <c r="E44" i="4" s="1"/>
  <c r="F103" i="4" s="1"/>
  <c r="D20" i="4"/>
  <c r="D44" i="4" s="1"/>
  <c r="C20" i="4"/>
  <c r="C44" i="4" s="1"/>
  <c r="C18" i="4"/>
  <c r="G16" i="4"/>
  <c r="G41" i="4" s="1"/>
  <c r="F16" i="4"/>
  <c r="F41" i="4" s="1"/>
  <c r="F73" i="4" s="1"/>
  <c r="E16" i="4"/>
  <c r="E41" i="4" s="1"/>
  <c r="E73" i="4" s="1"/>
  <c r="D16" i="4"/>
  <c r="D41" i="4" s="1"/>
  <c r="C16" i="4"/>
  <c r="C41" i="4" s="1"/>
  <c r="G15" i="4"/>
  <c r="G40" i="4" s="1"/>
  <c r="F15" i="4"/>
  <c r="E15" i="4"/>
  <c r="E40" i="4" s="1"/>
  <c r="E72" i="4" s="1"/>
  <c r="D15" i="4"/>
  <c r="C15" i="4"/>
  <c r="C40" i="4" s="1"/>
  <c r="G14" i="4"/>
  <c r="G39" i="4" s="1"/>
  <c r="G71" i="4" s="1"/>
  <c r="F14" i="4"/>
  <c r="F39" i="4" s="1"/>
  <c r="E14" i="4"/>
  <c r="E39" i="4" s="1"/>
  <c r="D14" i="4"/>
  <c r="D39" i="4" s="1"/>
  <c r="C14" i="4"/>
  <c r="C39" i="4" s="1"/>
  <c r="G11" i="4"/>
  <c r="G34" i="4" s="1"/>
  <c r="F11" i="4"/>
  <c r="F34" i="4" s="1"/>
  <c r="E11" i="4"/>
  <c r="E34" i="4" s="1"/>
  <c r="E33" i="4" s="1"/>
  <c r="D11" i="4"/>
  <c r="D34" i="4" s="1"/>
  <c r="D33" i="4" s="1"/>
  <c r="C11" i="4"/>
  <c r="C34" i="4" s="1"/>
  <c r="G10" i="4"/>
  <c r="F10" i="4"/>
  <c r="F36" i="4" s="1"/>
  <c r="F67" i="4" s="1"/>
  <c r="E10" i="4"/>
  <c r="E36" i="4" s="1"/>
  <c r="D10" i="4"/>
  <c r="D36" i="4" s="1"/>
  <c r="D67" i="4" s="1"/>
  <c r="C10" i="4"/>
  <c r="C36" i="4" s="1"/>
  <c r="C67" i="4" s="1"/>
  <c r="G9" i="4"/>
  <c r="G31" i="4" s="1"/>
  <c r="F9" i="4"/>
  <c r="F31" i="4" s="1"/>
  <c r="F57" i="4" s="1"/>
  <c r="E9" i="4"/>
  <c r="D9" i="4"/>
  <c r="D31" i="4" s="1"/>
  <c r="D57" i="4" s="1"/>
  <c r="C9" i="4"/>
  <c r="C31" i="4" s="1"/>
  <c r="G7" i="4"/>
  <c r="G30" i="4" s="1"/>
  <c r="F7" i="4"/>
  <c r="F8" i="4" s="1"/>
  <c r="E7" i="4"/>
  <c r="D7" i="4"/>
  <c r="C7" i="4"/>
  <c r="C30" i="4" s="1"/>
  <c r="K30" i="4" s="1"/>
  <c r="G91" i="3"/>
  <c r="F91" i="3"/>
  <c r="E91" i="3"/>
  <c r="D91" i="3"/>
  <c r="C91" i="3"/>
  <c r="G90" i="3"/>
  <c r="F90" i="3"/>
  <c r="E90" i="3"/>
  <c r="D90" i="3"/>
  <c r="C90" i="3"/>
  <c r="G89" i="3"/>
  <c r="F89" i="3"/>
  <c r="E89" i="3"/>
  <c r="D89" i="3"/>
  <c r="C89" i="3"/>
  <c r="Q88" i="3"/>
  <c r="G85" i="3"/>
  <c r="F85" i="3"/>
  <c r="E85" i="3"/>
  <c r="D85" i="3"/>
  <c r="C85" i="3"/>
  <c r="G84" i="3"/>
  <c r="F84" i="3"/>
  <c r="E84" i="3"/>
  <c r="D84" i="3"/>
  <c r="C84" i="3"/>
  <c r="G81" i="3"/>
  <c r="F81" i="3"/>
  <c r="E81" i="3"/>
  <c r="E86" i="3" s="1"/>
  <c r="D81" i="3"/>
  <c r="C81" i="3"/>
  <c r="Q80" i="3"/>
  <c r="G78" i="3"/>
  <c r="F78" i="3"/>
  <c r="E78" i="3"/>
  <c r="D78" i="3"/>
  <c r="C78" i="3"/>
  <c r="G77" i="3"/>
  <c r="F77" i="3"/>
  <c r="E77" i="3"/>
  <c r="D77" i="3"/>
  <c r="C77" i="3"/>
  <c r="G76" i="3"/>
  <c r="F76" i="3"/>
  <c r="E76" i="3"/>
  <c r="D76" i="3"/>
  <c r="C76" i="3"/>
  <c r="G75" i="3"/>
  <c r="F75" i="3"/>
  <c r="E75" i="3"/>
  <c r="D75" i="3"/>
  <c r="C75" i="3"/>
  <c r="G74" i="3"/>
  <c r="F74" i="3"/>
  <c r="E74" i="3"/>
  <c r="D74" i="3"/>
  <c r="C74" i="3"/>
  <c r="Q73" i="3"/>
  <c r="Q72" i="3"/>
  <c r="G69" i="3"/>
  <c r="F69" i="3"/>
  <c r="E69" i="3"/>
  <c r="D69" i="3"/>
  <c r="C69" i="3"/>
  <c r="C70" i="3" s="1"/>
  <c r="J68" i="3"/>
  <c r="J67" i="3"/>
  <c r="G67" i="3"/>
  <c r="F67" i="3"/>
  <c r="E67" i="3"/>
  <c r="D67" i="3"/>
  <c r="D70" i="3" s="1"/>
  <c r="C67" i="3"/>
  <c r="J65" i="3"/>
  <c r="G65" i="3"/>
  <c r="F65" i="3"/>
  <c r="E65" i="3"/>
  <c r="D65" i="3"/>
  <c r="C65" i="3"/>
  <c r="G64" i="3"/>
  <c r="F64" i="3"/>
  <c r="E64" i="3"/>
  <c r="D64" i="3"/>
  <c r="C64" i="3"/>
  <c r="J63" i="3"/>
  <c r="G63" i="3"/>
  <c r="U63" i="3" s="1"/>
  <c r="F63" i="3"/>
  <c r="E63" i="3"/>
  <c r="D63" i="3"/>
  <c r="C63" i="3"/>
  <c r="J62" i="3"/>
  <c r="G62" i="3"/>
  <c r="U62" i="3" s="1"/>
  <c r="F62" i="3"/>
  <c r="E62" i="3"/>
  <c r="D62" i="3"/>
  <c r="C62" i="3"/>
  <c r="J61" i="3"/>
  <c r="G61" i="3"/>
  <c r="F61" i="3"/>
  <c r="E61" i="3"/>
  <c r="D61" i="3"/>
  <c r="C61" i="3"/>
  <c r="G60" i="3"/>
  <c r="F60" i="3"/>
  <c r="E60" i="3"/>
  <c r="D60" i="3"/>
  <c r="C60" i="3"/>
  <c r="G59" i="3"/>
  <c r="F59" i="3"/>
  <c r="E59" i="3"/>
  <c r="D59" i="3"/>
  <c r="C59" i="3"/>
  <c r="G46" i="3"/>
  <c r="F46" i="3"/>
  <c r="E46" i="3"/>
  <c r="D46" i="3"/>
  <c r="D47" i="3" s="1"/>
  <c r="C46" i="3"/>
  <c r="G45" i="3"/>
  <c r="F45" i="3"/>
  <c r="E45" i="3"/>
  <c r="D45" i="3"/>
  <c r="C45" i="3"/>
  <c r="G44" i="3"/>
  <c r="F44" i="3"/>
  <c r="F47" i="3" s="1"/>
  <c r="E44" i="3"/>
  <c r="D44" i="3"/>
  <c r="C44" i="3"/>
  <c r="G43" i="3"/>
  <c r="F43" i="3"/>
  <c r="E43" i="3"/>
  <c r="D43" i="3"/>
  <c r="C43" i="3"/>
  <c r="G40" i="3"/>
  <c r="F40" i="3"/>
  <c r="E40" i="3"/>
  <c r="D40" i="3"/>
  <c r="C40" i="3"/>
  <c r="G39" i="3"/>
  <c r="F39" i="3"/>
  <c r="E39" i="3"/>
  <c r="D39" i="3"/>
  <c r="C39" i="3"/>
  <c r="G37" i="3"/>
  <c r="F37" i="3"/>
  <c r="E37" i="3"/>
  <c r="D37" i="3"/>
  <c r="C37" i="3"/>
  <c r="G36" i="3"/>
  <c r="F36" i="3"/>
  <c r="E36" i="3"/>
  <c r="D36" i="3"/>
  <c r="C36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1" i="3"/>
  <c r="F21" i="3"/>
  <c r="E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5" i="3"/>
  <c r="F15" i="3"/>
  <c r="E15" i="3"/>
  <c r="D15" i="3"/>
  <c r="C15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C15" i="1"/>
  <c r="C63" i="4" l="1"/>
  <c r="C68" i="4" s="1"/>
  <c r="T31" i="4"/>
  <c r="G57" i="4"/>
  <c r="T57" i="4" s="1"/>
  <c r="T44" i="4"/>
  <c r="K42" i="4"/>
  <c r="K44" i="4"/>
  <c r="C8" i="4"/>
  <c r="G8" i="4"/>
  <c r="D12" i="4"/>
  <c r="C47" i="3"/>
  <c r="U75" i="3"/>
  <c r="C79" i="3"/>
  <c r="C87" i="3" s="1"/>
  <c r="U77" i="3"/>
  <c r="U84" i="3"/>
  <c r="G47" i="3"/>
  <c r="G79" i="3"/>
  <c r="G100" i="3" s="1"/>
  <c r="D66" i="3"/>
  <c r="D99" i="3" s="1"/>
  <c r="U60" i="3"/>
  <c r="U78" i="3"/>
  <c r="U74" i="3"/>
  <c r="F16" i="3"/>
  <c r="G41" i="3"/>
  <c r="F70" i="3"/>
  <c r="F103" i="3" s="1"/>
  <c r="G16" i="3"/>
  <c r="F31" i="3"/>
  <c r="F33" i="3" s="1"/>
  <c r="C86" i="3"/>
  <c r="C102" i="3" s="1"/>
  <c r="C41" i="3"/>
  <c r="F41" i="3"/>
  <c r="F49" i="3" s="1"/>
  <c r="U61" i="3"/>
  <c r="D16" i="3"/>
  <c r="D41" i="3"/>
  <c r="D49" i="3" s="1"/>
  <c r="D50" i="3" s="1"/>
  <c r="E41" i="3"/>
  <c r="E49" i="3" s="1"/>
  <c r="E50" i="3" s="1"/>
  <c r="E16" i="3"/>
  <c r="D22" i="3"/>
  <c r="D31" i="3"/>
  <c r="D33" i="3" s="1"/>
  <c r="C22" i="3"/>
  <c r="E31" i="3"/>
  <c r="E33" i="3" s="1"/>
  <c r="C31" i="3"/>
  <c r="C33" i="3" s="1"/>
  <c r="E47" i="3"/>
  <c r="U91" i="3"/>
  <c r="D103" i="3"/>
  <c r="E102" i="3"/>
  <c r="C103" i="3"/>
  <c r="U69" i="3"/>
  <c r="D59" i="4"/>
  <c r="E67" i="4"/>
  <c r="E70" i="3"/>
  <c r="C57" i="4"/>
  <c r="K31" i="4"/>
  <c r="E22" i="3"/>
  <c r="G66" i="3"/>
  <c r="U59" i="3"/>
  <c r="D40" i="4"/>
  <c r="D17" i="4"/>
  <c r="D30" i="4"/>
  <c r="T30" i="4" s="1"/>
  <c r="D8" i="4"/>
  <c r="D13" i="4" s="1"/>
  <c r="E59" i="4"/>
  <c r="E8" i="4"/>
  <c r="E30" i="4"/>
  <c r="M33" i="4" s="1"/>
  <c r="G31" i="3"/>
  <c r="G33" i="3" s="1"/>
  <c r="U67" i="3"/>
  <c r="D86" i="3"/>
  <c r="O30" i="4"/>
  <c r="G56" i="4"/>
  <c r="G32" i="4"/>
  <c r="U85" i="3"/>
  <c r="C100" i="3"/>
  <c r="G73" i="4"/>
  <c r="O41" i="4"/>
  <c r="T41" i="4"/>
  <c r="C49" i="3"/>
  <c r="C66" i="3"/>
  <c r="F79" i="3"/>
  <c r="E31" i="4"/>
  <c r="E12" i="4"/>
  <c r="G62" i="4"/>
  <c r="F105" i="4"/>
  <c r="O44" i="4"/>
  <c r="G70" i="3"/>
  <c r="U76" i="3"/>
  <c r="F92" i="3"/>
  <c r="U90" i="3"/>
  <c r="T34" i="4"/>
  <c r="G60" i="4"/>
  <c r="G33" i="4"/>
  <c r="O34" i="4"/>
  <c r="C62" i="4"/>
  <c r="K40" i="4"/>
  <c r="C72" i="4"/>
  <c r="F12" i="4"/>
  <c r="F13" i="4" s="1"/>
  <c r="F22" i="3"/>
  <c r="F24" i="3" s="1"/>
  <c r="C33" i="4"/>
  <c r="K34" i="4"/>
  <c r="C60" i="4"/>
  <c r="G22" i="3"/>
  <c r="D60" i="4"/>
  <c r="C16" i="3"/>
  <c r="C24" i="3" s="1"/>
  <c r="E66" i="3"/>
  <c r="U64" i="3"/>
  <c r="E79" i="3"/>
  <c r="E87" i="3" s="1"/>
  <c r="U89" i="3"/>
  <c r="G92" i="3"/>
  <c r="C12" i="4"/>
  <c r="K41" i="4"/>
  <c r="C73" i="4"/>
  <c r="F102" i="4"/>
  <c r="D62" i="4"/>
  <c r="D73" i="4"/>
  <c r="C56" i="4"/>
  <c r="K63" i="4" s="1"/>
  <c r="C32" i="4"/>
  <c r="G36" i="4"/>
  <c r="G12" i="4"/>
  <c r="F60" i="4"/>
  <c r="F33" i="4"/>
  <c r="K39" i="4"/>
  <c r="F86" i="3"/>
  <c r="C92" i="3"/>
  <c r="E60" i="4"/>
  <c r="C17" i="4"/>
  <c r="F66" i="3"/>
  <c r="U81" i="3"/>
  <c r="G86" i="3"/>
  <c r="D92" i="3"/>
  <c r="C38" i="4"/>
  <c r="C71" i="4"/>
  <c r="F40" i="4"/>
  <c r="F38" i="4" s="1"/>
  <c r="F17" i="4"/>
  <c r="F30" i="4"/>
  <c r="N41" i="4" s="1"/>
  <c r="O31" i="4"/>
  <c r="D79" i="3"/>
  <c r="E92" i="3"/>
  <c r="D71" i="4"/>
  <c r="G72" i="4"/>
  <c r="O40" i="4"/>
  <c r="E17" i="4"/>
  <c r="E62" i="4"/>
  <c r="E38" i="4"/>
  <c r="O39" i="4"/>
  <c r="F71" i="4"/>
  <c r="G17" i="4"/>
  <c r="K36" i="4"/>
  <c r="G38" i="4"/>
  <c r="T39" i="4"/>
  <c r="E71" i="4"/>
  <c r="F62" i="4"/>
  <c r="F104" i="4"/>
  <c r="F19" i="4" l="1"/>
  <c r="F21" i="4" s="1"/>
  <c r="K57" i="4"/>
  <c r="K73" i="4"/>
  <c r="N31" i="4"/>
  <c r="K72" i="4"/>
  <c r="N36" i="4"/>
  <c r="G13" i="4"/>
  <c r="G19" i="4" s="1"/>
  <c r="G21" i="4" s="1"/>
  <c r="M34" i="4"/>
  <c r="D19" i="4"/>
  <c r="D21" i="4" s="1"/>
  <c r="C13" i="4"/>
  <c r="C19" i="4" s="1"/>
  <c r="C21" i="4" s="1"/>
  <c r="L34" i="4"/>
  <c r="K74" i="4"/>
  <c r="L36" i="4"/>
  <c r="N34" i="4"/>
  <c r="L44" i="4"/>
  <c r="C50" i="3"/>
  <c r="D71" i="3"/>
  <c r="L70" i="3" s="1"/>
  <c r="L89" i="3"/>
  <c r="F50" i="3"/>
  <c r="G49" i="3"/>
  <c r="G50" i="3" s="1"/>
  <c r="U79" i="3"/>
  <c r="L85" i="3"/>
  <c r="C104" i="3"/>
  <c r="C106" i="3" s="1"/>
  <c r="E24" i="3"/>
  <c r="D24" i="3"/>
  <c r="G24" i="3"/>
  <c r="L66" i="3"/>
  <c r="L103" i="3"/>
  <c r="O32" i="4"/>
  <c r="G35" i="4"/>
  <c r="G58" i="4"/>
  <c r="E93" i="3"/>
  <c r="E105" i="3"/>
  <c r="O36" i="4"/>
  <c r="G67" i="4"/>
  <c r="T36" i="4"/>
  <c r="O74" i="4"/>
  <c r="G87" i="4"/>
  <c r="O71" i="4"/>
  <c r="O56" i="4"/>
  <c r="N44" i="4"/>
  <c r="D100" i="3"/>
  <c r="D101" i="3" s="1"/>
  <c r="L79" i="3"/>
  <c r="K62" i="4"/>
  <c r="F105" i="3"/>
  <c r="O62" i="4"/>
  <c r="T62" i="4"/>
  <c r="O57" i="4"/>
  <c r="E88" i="4"/>
  <c r="G71" i="3"/>
  <c r="O86" i="3" s="1"/>
  <c r="O66" i="3"/>
  <c r="G99" i="3"/>
  <c r="U66" i="3"/>
  <c r="F59" i="4"/>
  <c r="N33" i="4"/>
  <c r="O60" i="4"/>
  <c r="T60" i="4"/>
  <c r="F100" i="3"/>
  <c r="T73" i="4"/>
  <c r="O73" i="4"/>
  <c r="E13" i="4"/>
  <c r="E19" i="4" s="1"/>
  <c r="E21" i="4" s="1"/>
  <c r="D56" i="4"/>
  <c r="T56" i="4" s="1"/>
  <c r="D32" i="4"/>
  <c r="T32" i="4" s="1"/>
  <c r="L42" i="4"/>
  <c r="L30" i="4"/>
  <c r="L39" i="4"/>
  <c r="L31" i="4"/>
  <c r="L33" i="4"/>
  <c r="G105" i="3"/>
  <c r="U92" i="3"/>
  <c r="K33" i="4"/>
  <c r="C59" i="4"/>
  <c r="D72" i="4"/>
  <c r="T72" i="4" s="1"/>
  <c r="L40" i="4"/>
  <c r="C35" i="4"/>
  <c r="C58" i="4"/>
  <c r="K58" i="4" s="1"/>
  <c r="K32" i="4"/>
  <c r="E100" i="3"/>
  <c r="G102" i="3"/>
  <c r="U86" i="3"/>
  <c r="G87" i="3"/>
  <c r="G93" i="3" s="1"/>
  <c r="E56" i="4"/>
  <c r="M59" i="4" s="1"/>
  <c r="E32" i="4"/>
  <c r="M42" i="4"/>
  <c r="M30" i="4"/>
  <c r="M39" i="4"/>
  <c r="M36" i="4"/>
  <c r="N40" i="4"/>
  <c r="F72" i="4"/>
  <c r="F99" i="3"/>
  <c r="F71" i="3"/>
  <c r="N66" i="3" s="1"/>
  <c r="E99" i="3"/>
  <c r="E71" i="3"/>
  <c r="M92" i="3" s="1"/>
  <c r="L82" i="3"/>
  <c r="L83" i="3"/>
  <c r="L69" i="3"/>
  <c r="L84" i="3"/>
  <c r="L65" i="3"/>
  <c r="L71" i="3"/>
  <c r="L68" i="3"/>
  <c r="L62" i="3"/>
  <c r="L60" i="3"/>
  <c r="L67" i="3"/>
  <c r="L61" i="3"/>
  <c r="L64" i="3"/>
  <c r="C99" i="3"/>
  <c r="C71" i="3"/>
  <c r="K66" i="3"/>
  <c r="D102" i="3"/>
  <c r="D104" i="3" s="1"/>
  <c r="D87" i="3"/>
  <c r="L87" i="3" s="1"/>
  <c r="L90" i="3"/>
  <c r="D88" i="4"/>
  <c r="K38" i="4"/>
  <c r="C64" i="4"/>
  <c r="C70" i="4"/>
  <c r="F102" i="3"/>
  <c r="F104" i="3" s="1"/>
  <c r="F87" i="3"/>
  <c r="T40" i="4"/>
  <c r="L92" i="3"/>
  <c r="D105" i="3"/>
  <c r="F70" i="4"/>
  <c r="N38" i="4"/>
  <c r="O72" i="4"/>
  <c r="O42" i="4"/>
  <c r="N42" i="4"/>
  <c r="F32" i="4"/>
  <c r="N30" i="4"/>
  <c r="F56" i="4"/>
  <c r="N62" i="4" s="1"/>
  <c r="N39" i="4"/>
  <c r="C87" i="4"/>
  <c r="K87" i="4" s="1"/>
  <c r="K67" i="4"/>
  <c r="K56" i="4"/>
  <c r="T33" i="4"/>
  <c r="G59" i="4"/>
  <c r="O33" i="4"/>
  <c r="M31" i="4"/>
  <c r="E57" i="4"/>
  <c r="K68" i="4"/>
  <c r="E70" i="4"/>
  <c r="M38" i="4"/>
  <c r="D38" i="4"/>
  <c r="K60" i="4"/>
  <c r="G70" i="4"/>
  <c r="O38" i="4"/>
  <c r="M44" i="4"/>
  <c r="K71" i="4"/>
  <c r="M41" i="4"/>
  <c r="C93" i="3"/>
  <c r="K93" i="3" s="1"/>
  <c r="C105" i="3"/>
  <c r="T71" i="4"/>
  <c r="L41" i="4"/>
  <c r="G103" i="3"/>
  <c r="U103" i="3" s="1"/>
  <c r="U70" i="3"/>
  <c r="M40" i="4"/>
  <c r="L99" i="3"/>
  <c r="E103" i="3"/>
  <c r="E104" i="3" s="1"/>
  <c r="O87" i="4" l="1"/>
  <c r="L73" i="4"/>
  <c r="L59" i="4"/>
  <c r="L62" i="4"/>
  <c r="L71" i="4"/>
  <c r="M57" i="4"/>
  <c r="N60" i="4"/>
  <c r="M62" i="4"/>
  <c r="L86" i="3"/>
  <c r="L63" i="3"/>
  <c r="L91" i="3"/>
  <c r="L81" i="3"/>
  <c r="L59" i="3"/>
  <c r="Q66" i="3"/>
  <c r="N86" i="3"/>
  <c r="N102" i="3" s="1"/>
  <c r="M70" i="3"/>
  <c r="N79" i="3"/>
  <c r="N92" i="3"/>
  <c r="N105" i="3" s="1"/>
  <c r="O70" i="3"/>
  <c r="O103" i="3" s="1"/>
  <c r="D93" i="3"/>
  <c r="L93" i="3" s="1"/>
  <c r="U100" i="3"/>
  <c r="N87" i="3"/>
  <c r="M105" i="3"/>
  <c r="E106" i="3"/>
  <c r="F88" i="4"/>
  <c r="N59" i="4"/>
  <c r="O58" i="4"/>
  <c r="D70" i="4"/>
  <c r="T70" i="4" s="1"/>
  <c r="L38" i="4"/>
  <c r="K59" i="4"/>
  <c r="C88" i="4"/>
  <c r="K88" i="4" s="1"/>
  <c r="U99" i="3"/>
  <c r="G101" i="3"/>
  <c r="U101" i="3" s="1"/>
  <c r="O99" i="3"/>
  <c r="K83" i="3"/>
  <c r="Q83" i="3" s="1"/>
  <c r="K91" i="3"/>
  <c r="Q91" i="3" s="1"/>
  <c r="K81" i="3"/>
  <c r="Q81" i="3" s="1"/>
  <c r="K71" i="3"/>
  <c r="K82" i="3"/>
  <c r="Q82" i="3" s="1"/>
  <c r="K64" i="3"/>
  <c r="Q64" i="3" s="1"/>
  <c r="K90" i="3"/>
  <c r="Q90" i="3" s="1"/>
  <c r="K68" i="3"/>
  <c r="Q68" i="3" s="1"/>
  <c r="K69" i="3"/>
  <c r="Q69" i="3" s="1"/>
  <c r="K61" i="3"/>
  <c r="Q61" i="3" s="1"/>
  <c r="K62" i="3"/>
  <c r="Q62" i="3" s="1"/>
  <c r="K60" i="3"/>
  <c r="Q60" i="3" s="1"/>
  <c r="K59" i="3"/>
  <c r="K67" i="3"/>
  <c r="K63" i="3"/>
  <c r="Q63" i="3" s="1"/>
  <c r="K85" i="3"/>
  <c r="Q85" i="3" s="1"/>
  <c r="K65" i="3"/>
  <c r="Q65" i="3" s="1"/>
  <c r="K84" i="3"/>
  <c r="Q84" i="3" s="1"/>
  <c r="K79" i="3"/>
  <c r="K100" i="3" s="1"/>
  <c r="K89" i="3"/>
  <c r="Q89" i="3" s="1"/>
  <c r="K70" i="3"/>
  <c r="K86" i="3"/>
  <c r="K102" i="3" s="1"/>
  <c r="M60" i="4"/>
  <c r="L100" i="3"/>
  <c r="T38" i="4"/>
  <c r="C101" i="3"/>
  <c r="K99" i="3"/>
  <c r="O68" i="3"/>
  <c r="O84" i="3"/>
  <c r="N78" i="3"/>
  <c r="M77" i="3"/>
  <c r="L76" i="3"/>
  <c r="K75" i="3"/>
  <c r="L77" i="3"/>
  <c r="O71" i="3"/>
  <c r="O83" i="3"/>
  <c r="N76" i="3"/>
  <c r="O82" i="3"/>
  <c r="O78" i="3"/>
  <c r="M75" i="3"/>
  <c r="L74" i="3"/>
  <c r="L75" i="3"/>
  <c r="O81" i="3"/>
  <c r="K74" i="3"/>
  <c r="K77" i="3"/>
  <c r="O89" i="3"/>
  <c r="M76" i="3"/>
  <c r="O77" i="3"/>
  <c r="N77" i="3"/>
  <c r="U71" i="3"/>
  <c r="O67" i="3"/>
  <c r="O62" i="3"/>
  <c r="O60" i="3"/>
  <c r="O90" i="3"/>
  <c r="L78" i="3"/>
  <c r="O85" i="3"/>
  <c r="N75" i="3"/>
  <c r="M78" i="3"/>
  <c r="O64" i="3"/>
  <c r="O74" i="3"/>
  <c r="M74" i="3"/>
  <c r="O69" i="3"/>
  <c r="O59" i="3"/>
  <c r="K76" i="3"/>
  <c r="O75" i="3"/>
  <c r="O79" i="3"/>
  <c r="O76" i="3"/>
  <c r="K78" i="3"/>
  <c r="N74" i="3"/>
  <c r="O61" i="3"/>
  <c r="O91" i="3"/>
  <c r="O65" i="3"/>
  <c r="O63" i="3"/>
  <c r="M70" i="4"/>
  <c r="E101" i="3"/>
  <c r="M99" i="3"/>
  <c r="K87" i="3"/>
  <c r="Q87" i="3" s="1"/>
  <c r="D58" i="4"/>
  <c r="L58" i="4" s="1"/>
  <c r="L32" i="4"/>
  <c r="D35" i="4"/>
  <c r="T35" i="4" s="1"/>
  <c r="G104" i="3"/>
  <c r="U102" i="3"/>
  <c r="N56" i="4"/>
  <c r="F87" i="4"/>
  <c r="N74" i="4"/>
  <c r="N67" i="4"/>
  <c r="N73" i="4"/>
  <c r="N57" i="4"/>
  <c r="D106" i="3"/>
  <c r="O102" i="3"/>
  <c r="N70" i="4"/>
  <c r="E58" i="4"/>
  <c r="M58" i="4" s="1"/>
  <c r="E35" i="4"/>
  <c r="M32" i="4"/>
  <c r="M103" i="3"/>
  <c r="O59" i="4"/>
  <c r="G88" i="4"/>
  <c r="T59" i="4"/>
  <c r="M82" i="3"/>
  <c r="M83" i="3"/>
  <c r="M68" i="3"/>
  <c r="M65" i="3"/>
  <c r="M69" i="3"/>
  <c r="M64" i="3"/>
  <c r="M81" i="3"/>
  <c r="M71" i="3"/>
  <c r="M86" i="3"/>
  <c r="M59" i="3"/>
  <c r="M60" i="3"/>
  <c r="M67" i="3"/>
  <c r="M90" i="3"/>
  <c r="M85" i="3"/>
  <c r="M61" i="3"/>
  <c r="M91" i="3"/>
  <c r="M62" i="3"/>
  <c r="M63" i="3"/>
  <c r="M84" i="3"/>
  <c r="M89" i="3"/>
  <c r="Q59" i="3"/>
  <c r="O93" i="3"/>
  <c r="M87" i="3"/>
  <c r="O87" i="3"/>
  <c r="U87" i="3"/>
  <c r="U105" i="3"/>
  <c r="D87" i="4"/>
  <c r="L87" i="4" s="1"/>
  <c r="L56" i="4"/>
  <c r="L67" i="4"/>
  <c r="L74" i="4"/>
  <c r="L57" i="4"/>
  <c r="F93" i="3"/>
  <c r="N93" i="3" s="1"/>
  <c r="L60" i="4"/>
  <c r="M93" i="3"/>
  <c r="K64" i="4"/>
  <c r="C75" i="4"/>
  <c r="K75" i="4" s="1"/>
  <c r="Q67" i="3"/>
  <c r="N99" i="3"/>
  <c r="F101" i="3"/>
  <c r="O67" i="4"/>
  <c r="T67" i="4"/>
  <c r="N72" i="4"/>
  <c r="G37" i="4"/>
  <c r="O35" i="4"/>
  <c r="G61" i="4"/>
  <c r="C37" i="4"/>
  <c r="C61" i="4"/>
  <c r="K35" i="4"/>
  <c r="N32" i="4"/>
  <c r="F58" i="4"/>
  <c r="N58" i="4" s="1"/>
  <c r="F35" i="4"/>
  <c r="M56" i="4"/>
  <c r="E87" i="4"/>
  <c r="M74" i="4"/>
  <c r="M72" i="4"/>
  <c r="M73" i="4"/>
  <c r="M67" i="4"/>
  <c r="M66" i="3"/>
  <c r="N71" i="4"/>
  <c r="M71" i="4"/>
  <c r="F106" i="3"/>
  <c r="K92" i="3"/>
  <c r="K105" i="3" s="1"/>
  <c r="O70" i="4"/>
  <c r="L105" i="3"/>
  <c r="Q105" i="3" s="1"/>
  <c r="K70" i="4"/>
  <c r="Q86" i="3"/>
  <c r="L102" i="3"/>
  <c r="N83" i="3"/>
  <c r="N68" i="3"/>
  <c r="N71" i="3"/>
  <c r="N67" i="3"/>
  <c r="N84" i="3"/>
  <c r="N82" i="3"/>
  <c r="N69" i="3"/>
  <c r="N70" i="3"/>
  <c r="N85" i="3"/>
  <c r="N65" i="3"/>
  <c r="N64" i="3"/>
  <c r="N90" i="3"/>
  <c r="N91" i="3"/>
  <c r="N59" i="3"/>
  <c r="N61" i="3"/>
  <c r="N81" i="3"/>
  <c r="N63" i="3"/>
  <c r="N89" i="3"/>
  <c r="N60" i="3"/>
  <c r="N62" i="3"/>
  <c r="M79" i="3"/>
  <c r="L72" i="4"/>
  <c r="O92" i="3"/>
  <c r="C65" i="4"/>
  <c r="O88" i="4" l="1"/>
  <c r="N87" i="4"/>
  <c r="M87" i="4"/>
  <c r="Q79" i="3"/>
  <c r="Q92" i="3"/>
  <c r="Q75" i="3"/>
  <c r="Q100" i="3"/>
  <c r="N100" i="3"/>
  <c r="N101" i="3" s="1"/>
  <c r="U93" i="3"/>
  <c r="N104" i="3"/>
  <c r="K37" i="4"/>
  <c r="C43" i="4"/>
  <c r="O104" i="3"/>
  <c r="N103" i="3"/>
  <c r="M102" i="3"/>
  <c r="Q102" i="3"/>
  <c r="L104" i="3"/>
  <c r="M88" i="4"/>
  <c r="Q74" i="3"/>
  <c r="L88" i="4"/>
  <c r="E37" i="4"/>
  <c r="E61" i="4"/>
  <c r="M35" i="4"/>
  <c r="O105" i="3"/>
  <c r="K101" i="3"/>
  <c r="F61" i="4"/>
  <c r="N35" i="4"/>
  <c r="F37" i="4"/>
  <c r="G106" i="3"/>
  <c r="U106" i="3" s="1"/>
  <c r="U104" i="3"/>
  <c r="L70" i="4"/>
  <c r="O61" i="4"/>
  <c r="L101" i="3"/>
  <c r="D37" i="4"/>
  <c r="D61" i="4"/>
  <c r="L35" i="4"/>
  <c r="Q76" i="3"/>
  <c r="T58" i="4"/>
  <c r="K65" i="4"/>
  <c r="C89" i="4"/>
  <c r="K89" i="4" s="1"/>
  <c r="C66" i="4"/>
  <c r="K61" i="4"/>
  <c r="N88" i="4"/>
  <c r="O100" i="3"/>
  <c r="Q77" i="3"/>
  <c r="M100" i="3"/>
  <c r="C76" i="4"/>
  <c r="Q99" i="3"/>
  <c r="G43" i="4"/>
  <c r="O37" i="4"/>
  <c r="Q78" i="3"/>
  <c r="K103" i="3"/>
  <c r="Q103" i="3" s="1"/>
  <c r="Q70" i="3"/>
  <c r="C45" i="4" l="1"/>
  <c r="K43" i="4"/>
  <c r="L61" i="4"/>
  <c r="M61" i="4"/>
  <c r="M104" i="3"/>
  <c r="L37" i="4"/>
  <c r="D43" i="4"/>
  <c r="T43" i="4" s="1"/>
  <c r="E43" i="4"/>
  <c r="M37" i="4"/>
  <c r="N106" i="3"/>
  <c r="T37" i="4"/>
  <c r="O101" i="3"/>
  <c r="Q101" i="3"/>
  <c r="L106" i="3"/>
  <c r="T61" i="4"/>
  <c r="G45" i="4"/>
  <c r="O43" i="4"/>
  <c r="G105" i="4"/>
  <c r="E105" i="4" s="1"/>
  <c r="C69" i="4"/>
  <c r="K66" i="4"/>
  <c r="C90" i="4"/>
  <c r="K90" i="4" s="1"/>
  <c r="F43" i="4"/>
  <c r="N37" i="4"/>
  <c r="O106" i="3"/>
  <c r="N61" i="4"/>
  <c r="K76" i="4"/>
  <c r="C92" i="4"/>
  <c r="K104" i="3"/>
  <c r="K106" i="3" s="1"/>
  <c r="M101" i="3"/>
  <c r="M106" i="3" l="1"/>
  <c r="Q104" i="3"/>
  <c r="K92" i="4"/>
  <c r="O45" i="4"/>
  <c r="G49" i="4"/>
  <c r="Q106" i="3"/>
  <c r="C91" i="4"/>
  <c r="K91" i="4" s="1"/>
  <c r="K69" i="4"/>
  <c r="C77" i="4"/>
  <c r="G102" i="4"/>
  <c r="E102" i="4" s="1"/>
  <c r="D45" i="4"/>
  <c r="T45" i="4" s="1"/>
  <c r="L43" i="4"/>
  <c r="G64" i="4"/>
  <c r="G63" i="4"/>
  <c r="G104" i="4"/>
  <c r="E104" i="4" s="1"/>
  <c r="F45" i="4"/>
  <c r="N43" i="4"/>
  <c r="E45" i="4"/>
  <c r="M43" i="4"/>
  <c r="G103" i="4"/>
  <c r="E103" i="4" s="1"/>
  <c r="K45" i="4"/>
  <c r="C49" i="4"/>
  <c r="K49" i="4" s="1"/>
  <c r="D63" i="4" l="1"/>
  <c r="T63" i="4" s="1"/>
  <c r="D64" i="4"/>
  <c r="C81" i="4"/>
  <c r="K77" i="4"/>
  <c r="C93" i="4"/>
  <c r="K93" i="4" s="1"/>
  <c r="E63" i="4"/>
  <c r="E64" i="4"/>
  <c r="O63" i="4"/>
  <c r="G68" i="4"/>
  <c r="G65" i="4"/>
  <c r="F49" i="4"/>
  <c r="N49" i="4" s="1"/>
  <c r="N45" i="4"/>
  <c r="G75" i="4"/>
  <c r="O64" i="4"/>
  <c r="F63" i="4"/>
  <c r="F64" i="4"/>
  <c r="M45" i="4"/>
  <c r="E49" i="4"/>
  <c r="M49" i="4" s="1"/>
  <c r="O49" i="4"/>
  <c r="L45" i="4"/>
  <c r="D49" i="4"/>
  <c r="L49" i="4" s="1"/>
  <c r="S49" i="4" l="1"/>
  <c r="F75" i="4"/>
  <c r="N64" i="4"/>
  <c r="L64" i="4"/>
  <c r="D75" i="4"/>
  <c r="T75" i="4"/>
  <c r="O75" i="4"/>
  <c r="G76" i="4"/>
  <c r="M64" i="4"/>
  <c r="E75" i="4"/>
  <c r="E68" i="4"/>
  <c r="M68" i="4" s="1"/>
  <c r="M63" i="4"/>
  <c r="E65" i="4"/>
  <c r="Q49" i="4"/>
  <c r="O68" i="4"/>
  <c r="N63" i="4"/>
  <c r="F68" i="4"/>
  <c r="N68" i="4" s="1"/>
  <c r="F65" i="4"/>
  <c r="D68" i="4"/>
  <c r="L68" i="4" s="1"/>
  <c r="L63" i="4"/>
  <c r="D65" i="4"/>
  <c r="T65" i="4" s="1"/>
  <c r="T64" i="4"/>
  <c r="T49" i="4"/>
  <c r="R49" i="4"/>
  <c r="G89" i="4"/>
  <c r="O65" i="4"/>
  <c r="G66" i="4"/>
  <c r="K81" i="4"/>
  <c r="C95" i="4"/>
  <c r="O89" i="4" l="1"/>
  <c r="T68" i="4"/>
  <c r="N75" i="4"/>
  <c r="F76" i="4"/>
  <c r="G92" i="4"/>
  <c r="O76" i="4"/>
  <c r="L65" i="4"/>
  <c r="D89" i="4"/>
  <c r="L89" i="4" s="1"/>
  <c r="D66" i="4"/>
  <c r="T66" i="4" s="1"/>
  <c r="M65" i="4"/>
  <c r="E89" i="4"/>
  <c r="E66" i="4"/>
  <c r="L75" i="4"/>
  <c r="D76" i="4"/>
  <c r="M75" i="4"/>
  <c r="E76" i="4"/>
  <c r="G69" i="4"/>
  <c r="G90" i="4"/>
  <c r="O66" i="4"/>
  <c r="K95" i="4"/>
  <c r="F89" i="4"/>
  <c r="N65" i="4"/>
  <c r="F66" i="4"/>
  <c r="M89" i="4" l="1"/>
  <c r="N89" i="4"/>
  <c r="Q89" i="4"/>
  <c r="O90" i="4"/>
  <c r="O69" i="4"/>
  <c r="G77" i="4"/>
  <c r="G91" i="4"/>
  <c r="E90" i="4"/>
  <c r="E69" i="4"/>
  <c r="M66" i="4"/>
  <c r="O92" i="4"/>
  <c r="F92" i="4"/>
  <c r="N76" i="4"/>
  <c r="L76" i="4"/>
  <c r="D92" i="4"/>
  <c r="D90" i="4"/>
  <c r="L90" i="4" s="1"/>
  <c r="D69" i="4"/>
  <c r="L66" i="4"/>
  <c r="F90" i="4"/>
  <c r="F69" i="4"/>
  <c r="N66" i="4"/>
  <c r="E92" i="4"/>
  <c r="M76" i="4"/>
  <c r="T76" i="4"/>
  <c r="M90" i="4" l="1"/>
  <c r="O91" i="4"/>
  <c r="N90" i="4"/>
  <c r="D91" i="4"/>
  <c r="L91" i="4" s="1"/>
  <c r="L69" i="4"/>
  <c r="D77" i="4"/>
  <c r="T77" i="4" s="1"/>
  <c r="M92" i="4"/>
  <c r="E91" i="4"/>
  <c r="M69" i="4"/>
  <c r="E77" i="4"/>
  <c r="L92" i="4"/>
  <c r="T69" i="4"/>
  <c r="F91" i="4"/>
  <c r="N69" i="4"/>
  <c r="F77" i="4"/>
  <c r="N92" i="4"/>
  <c r="G93" i="4"/>
  <c r="O77" i="4"/>
  <c r="G81" i="4"/>
  <c r="M91" i="4" l="1"/>
  <c r="O93" i="4"/>
  <c r="N91" i="4"/>
  <c r="F93" i="4"/>
  <c r="N77" i="4"/>
  <c r="F81" i="4"/>
  <c r="L77" i="4"/>
  <c r="D93" i="4"/>
  <c r="L93" i="4" s="1"/>
  <c r="D81" i="4"/>
  <c r="T81" i="4" s="1"/>
  <c r="G95" i="4"/>
  <c r="O81" i="4"/>
  <c r="M77" i="4"/>
  <c r="E93" i="4"/>
  <c r="E81" i="4"/>
  <c r="M93" i="4" l="1"/>
  <c r="N93" i="4"/>
  <c r="D95" i="4"/>
  <c r="L81" i="4"/>
  <c r="F95" i="4"/>
  <c r="N81" i="4"/>
  <c r="E95" i="4"/>
  <c r="M81" i="4"/>
  <c r="O95" i="4"/>
  <c r="N95" i="4" l="1"/>
  <c r="M95" i="4"/>
  <c r="L95" i="4"/>
</calcChain>
</file>

<file path=xl/sharedStrings.xml><?xml version="1.0" encoding="utf-8"?>
<sst xmlns="http://schemas.openxmlformats.org/spreadsheetml/2006/main" count="3028" uniqueCount="824">
  <si>
    <t>LUIS T. - S.R.L.</t>
  </si>
  <si>
    <t>39100 Bolzano</t>
  </si>
  <si>
    <t>Tax code</t>
  </si>
  <si>
    <t>02274840210</t>
  </si>
  <si>
    <t>CCIAA number</t>
  </si>
  <si>
    <t>BZ0167343</t>
  </si>
  <si>
    <t>Private company</t>
  </si>
  <si>
    <t>The Global Ultimate Owner of this controlled subsidiary is MR MARKUS BAUMGARTNER</t>
  </si>
  <si>
    <t>Contact details</t>
  </si>
  <si>
    <t>Registered office address</t>
  </si>
  <si>
    <t xml:space="preserve"> WERNER-VON-SIEMENS-STRASSE, 18</t>
  </si>
  <si>
    <t>Phone number</t>
  </si>
  <si>
    <t>0471095564</t>
  </si>
  <si>
    <t>Website address</t>
  </si>
  <si>
    <t>BOLZANO/BOZEN(TRENTINO-ALTO ADIGE/SÜDTIROL)</t>
  </si>
  <si>
    <t>Trading address</t>
  </si>
  <si>
    <t>VIA VON SIEMENS 18</t>
  </si>
  <si>
    <t>BOLZANO/BOZEN(TRENTINO-ALTO ADIGE)</t>
  </si>
  <si>
    <t>Legal &amp; account information</t>
  </si>
  <si>
    <t>Previous name</t>
  </si>
  <si>
    <t>08/2012</t>
  </si>
  <si>
    <t>LUIS T. - S.R.L. % LUIS T. G.M.B.H.</t>
  </si>
  <si>
    <t>The date of name change has no legal validity but is the date BvD detected the name change</t>
  </si>
  <si>
    <t>Legal status</t>
  </si>
  <si>
    <t>Active</t>
  </si>
  <si>
    <t>Last accounting closing date</t>
  </si>
  <si>
    <t>31/03/2025</t>
  </si>
  <si>
    <t>Legal form</t>
  </si>
  <si>
    <t>Limited liability company - SRL</t>
  </si>
  <si>
    <t>No of available years</t>
  </si>
  <si>
    <t>Date of incorporation</t>
  </si>
  <si>
    <t>Available accounts</t>
  </si>
  <si>
    <t>Unconsolidated</t>
  </si>
  <si>
    <t>Last accounting model</t>
  </si>
  <si>
    <t>Detailed</t>
  </si>
  <si>
    <t>Size and group information</t>
  </si>
  <si>
    <t>Turnover (2025)</t>
  </si>
  <si>
    <t>14.885.328 EUR</t>
  </si>
  <si>
    <t>BvD independence indicator</t>
  </si>
  <si>
    <t>D</t>
  </si>
  <si>
    <t>Profit (loss) (2025)</t>
  </si>
  <si>
    <t>160.035 EUR</t>
  </si>
  <si>
    <t>No of companies in corporate group</t>
  </si>
  <si>
    <t>Total assets (2025)</t>
  </si>
  <si>
    <t>12.930.506 EUR</t>
  </si>
  <si>
    <t>Employees (2025)</t>
  </si>
  <si>
    <t>52</t>
  </si>
  <si>
    <t>No of recorded shareholders</t>
  </si>
  <si>
    <t>Social capital (2025)</t>
  </si>
  <si>
    <t>100 th EUR</t>
  </si>
  <si>
    <t>No of recorded subsidiaries</t>
  </si>
  <si>
    <t>Main exchange</t>
  </si>
  <si>
    <t>Unlisted</t>
  </si>
  <si>
    <t>Industry classification</t>
  </si>
  <si>
    <t>Italian trade description</t>
  </si>
  <si>
    <t>CONFEZIONE DI ARTICOLI DI ABBIGLIAMENTO (ESCLUSO ABBIGLIAMENTO IN LLICCIA)</t>
  </si>
  <si>
    <t>Ateco 2007 code</t>
  </si>
  <si>
    <t>141000 Manufacture of wearing apparel, except fur apparel</t>
  </si>
  <si>
    <t>SAE code</t>
  </si>
  <si>
    <t>430 Imprese produttive</t>
  </si>
  <si>
    <t>RAE code</t>
  </si>
  <si>
    <t>453 Articoli di abbigliamento ed accessori</t>
  </si>
  <si>
    <t>Peer group</t>
  </si>
  <si>
    <t>Name</t>
  </si>
  <si>
    <t>141 VL (Very large companies)</t>
  </si>
  <si>
    <t>Description</t>
  </si>
  <si>
    <t>Confezione di articoli di abbigliamento (escluso abbligliamento in pelliccia)</t>
  </si>
  <si>
    <t>Size</t>
  </si>
  <si>
    <t>1.742 companies</t>
  </si>
  <si>
    <t>Key financials &amp; employees</t>
  </si>
  <si>
    <t>31/03/2025
EUR</t>
  </si>
  <si>
    <t>31/03/2024
EUR</t>
  </si>
  <si>
    <t>31/03/2023
EUR</t>
  </si>
  <si>
    <t>31/03/2022
EUR</t>
  </si>
  <si>
    <t>31/03/2021
EUR</t>
  </si>
  <si>
    <t>31/03/2020
EUR</t>
  </si>
  <si>
    <t>31/03/2019
EUR</t>
  </si>
  <si>
    <t>31/03/2018
EUR</t>
  </si>
  <si>
    <t>31/03/2017
EUR</t>
  </si>
  <si>
    <t>31/03/2016
EUR</t>
  </si>
  <si>
    <t>12 months
Detailed
ICS</t>
  </si>
  <si>
    <t>12 months
Abbreviated (D)
ICS</t>
  </si>
  <si>
    <t xml:space="preserve">  Revenues from sales and services</t>
  </si>
  <si>
    <t xml:space="preserve">  EBITDA</t>
  </si>
  <si>
    <t xml:space="preserve">  Profit (loss)</t>
  </si>
  <si>
    <t xml:space="preserve">  Total assets</t>
  </si>
  <si>
    <t xml:space="preserve">  Total shareholder's funds</t>
  </si>
  <si>
    <t xml:space="preserve">  Net financial position</t>
  </si>
  <si>
    <t xml:space="preserve">  EBITDA/vendite (%)</t>
  </si>
  <si>
    <t xml:space="preserve">  Return on sales (ROS) (%)</t>
  </si>
  <si>
    <t xml:space="preserve">  Return on asset (ROA) (%)</t>
  </si>
  <si>
    <t xml:space="preserve">  Return on equity (ROE) (%)</t>
  </si>
  <si>
    <t xml:space="preserve">  Debt/equity ratio</t>
  </si>
  <si>
    <t xml:space="preserve">  Banks/turnover (%)</t>
  </si>
  <si>
    <t xml:space="preserve">  Debt/EBITDA ratio</t>
  </si>
  <si>
    <t xml:space="preserve">  Total assets turnover (times)</t>
  </si>
  <si>
    <t xml:space="preserve">  Number of employees</t>
  </si>
  <si>
    <t>Balance sheet</t>
  </si>
  <si>
    <t>Assets</t>
  </si>
  <si>
    <t xml:space="preserve"> A. TOTAL receivables due from shareholders</t>
  </si>
  <si>
    <t xml:space="preserve">   Called share capital</t>
  </si>
  <si>
    <t xml:space="preserve"> B. TOTAL FIXED ASSETS</t>
  </si>
  <si>
    <t xml:space="preserve">  B.I. TOTAL INTANGIBLE FIXED ASSETS</t>
  </si>
  <si>
    <t xml:space="preserve">   B.I.1. Start-up and expansion costs</t>
  </si>
  <si>
    <t>n.a.</t>
  </si>
  <si>
    <t xml:space="preserve">   B.I.2. Research and dev. exp.</t>
  </si>
  <si>
    <t xml:space="preserve">   B.I.3. Ind. patents and intellect. property rights</t>
  </si>
  <si>
    <t xml:space="preserve">   B.I.4. Concessions, licenses, trademarks and similar rights</t>
  </si>
  <si>
    <t xml:space="preserve">   B.I.5. Goodwill/Consolidation Difference</t>
  </si>
  <si>
    <t xml:space="preserve">    including: Goodwill</t>
  </si>
  <si>
    <t xml:space="preserve">   B.I.6. Additions in progress and advances</t>
  </si>
  <si>
    <t xml:space="preserve">   B.I.7. Others</t>
  </si>
  <si>
    <t xml:space="preserve">   (Amortization provision)</t>
  </si>
  <si>
    <t xml:space="preserve">  B.II. TOTAL TANGIBLE FIXED ASSETS</t>
  </si>
  <si>
    <t xml:space="preserve">    including: leased tangible assets</t>
  </si>
  <si>
    <t xml:space="preserve">   B.II.1. Land and buildings</t>
  </si>
  <si>
    <t xml:space="preserve">   B.II.2. Plant and machinery</t>
  </si>
  <si>
    <t xml:space="preserve">   B.II.3. Indust. and commercial equipment</t>
  </si>
  <si>
    <t xml:space="preserve">   B.II.4. Other assets</t>
  </si>
  <si>
    <t xml:space="preserve">   B.II.5. Additions in progress and advances</t>
  </si>
  <si>
    <t xml:space="preserve">   (Depreciation provision)</t>
  </si>
  <si>
    <t xml:space="preserve">  B.III. TOTAL FINANCIAL FIXED ASSETS</t>
  </si>
  <si>
    <t xml:space="preserve">    including: short term</t>
  </si>
  <si>
    <t xml:space="preserve">   B.III.1. Total equity investments</t>
  </si>
  <si>
    <t xml:space="preserve">    B.III.1.a. Subsidiary companies</t>
  </si>
  <si>
    <t xml:space="preserve">    B.III.1.b. Associated companies</t>
  </si>
  <si>
    <t xml:space="preserve">    B.III.1.c. Parent companies</t>
  </si>
  <si>
    <t xml:space="preserve">    B.III.1.d. Companies under parent companies control</t>
  </si>
  <si>
    <t xml:space="preserve">    B.III.1.d.bis. Other companies</t>
  </si>
  <si>
    <t xml:space="preserve">   B.III.2. Total Receivables</t>
  </si>
  <si>
    <t xml:space="preserve">    B.III.2.a. Due from subsidiary comp.</t>
  </si>
  <si>
    <t xml:space="preserve">    B.III.2.a. Due from subs. comp. - beyond 12 months</t>
  </si>
  <si>
    <t xml:space="preserve">    B.III.2.b. Due from assoc. comp.</t>
  </si>
  <si>
    <t xml:space="preserve">    B.III.2.b. Due from assoc. comp. - beyond 12 months</t>
  </si>
  <si>
    <t xml:space="preserve">    B.III.2.c. Due from parent comp.</t>
  </si>
  <si>
    <t xml:space="preserve">    B.III.2.c. Due from parent comp. - beyond 12 months</t>
  </si>
  <si>
    <t xml:space="preserve">    B.III.2.d. Due from comp. under parent companies control</t>
  </si>
  <si>
    <t xml:space="preserve">    B.III.2.d. Due from comp. under parent companies control - beyond 12 months</t>
  </si>
  <si>
    <t xml:space="preserve">    B.III.2.d.bis. Due from other comp.</t>
  </si>
  <si>
    <t xml:space="preserve">    B.III.2.d.bis Due from other comp. - beyond 12 months</t>
  </si>
  <si>
    <t xml:space="preserve">   B.III. FINANCIAL RECEIV. WITHIN 12 MONTHS</t>
  </si>
  <si>
    <t xml:space="preserve">   B.III. FINANCIAL RECEIV. BEYOND 12 MONTHS</t>
  </si>
  <si>
    <t xml:space="preserve">   B.III.3. Other securities</t>
  </si>
  <si>
    <t xml:space="preserve">   B.III.3.bis. Own shares</t>
  </si>
  <si>
    <t xml:space="preserve">   B.III.4. Derivatives</t>
  </si>
  <si>
    <t xml:space="preserve">   Own shares: par value</t>
  </si>
  <si>
    <t xml:space="preserve"> C. TOTAL CURRENT ASSETS</t>
  </si>
  <si>
    <t xml:space="preserve">  C.I. TOTAL INVENTORIES</t>
  </si>
  <si>
    <t xml:space="preserve">   C.I.1. Raw and consumable materials</t>
  </si>
  <si>
    <t xml:space="preserve">   C.I.2. Work in progress and semifinished products</t>
  </si>
  <si>
    <t xml:space="preserve">   C.I.3. Contract work in progress</t>
  </si>
  <si>
    <t xml:space="preserve">   C.I.4. Finished products and goods</t>
  </si>
  <si>
    <t xml:space="preserve">   C.I.5. Advances</t>
  </si>
  <si>
    <t xml:space="preserve">   Tangible fixed assets to be sold</t>
  </si>
  <si>
    <t xml:space="preserve">  C.II. TOTAL RECEIVABLES</t>
  </si>
  <si>
    <t xml:space="preserve">   C.II.1. Trade accounts</t>
  </si>
  <si>
    <t xml:space="preserve">   C.II.1. Trade accounts - beyond 12 months</t>
  </si>
  <si>
    <t xml:space="preserve">   C.II.2. Due from subs. comp.</t>
  </si>
  <si>
    <t xml:space="preserve">   C.II.2. Due from subs. comp. - beyond 12 months</t>
  </si>
  <si>
    <t xml:space="preserve">   C.II.3. Due from assoc. comp.</t>
  </si>
  <si>
    <t xml:space="preserve">   C.II.3. Due from assoc. comp. - beyond 12 months</t>
  </si>
  <si>
    <t xml:space="preserve">   C.II.4. Due from parent comp.</t>
  </si>
  <si>
    <t xml:space="preserve">   C.II.4. Due from parent comp. - beyond 12 months</t>
  </si>
  <si>
    <t xml:space="preserve">   C.II.5. Due from comp. under parent companies control</t>
  </si>
  <si>
    <t xml:space="preserve">   C.II.5. Due from comp. under parent companies control - beyond 12 months</t>
  </si>
  <si>
    <t xml:space="preserve">   C.II.5.bis. Tax receivables</t>
  </si>
  <si>
    <t xml:space="preserve">   C.II.5.bis. Tax receiv. - beyond 12 months</t>
  </si>
  <si>
    <t xml:space="preserve">   C.II.5.ter. Tax receiv. for prepaid taxes</t>
  </si>
  <si>
    <t xml:space="preserve">   C.II.5.ter. Tax receiv. for prepaid taxes - beyond 12 months</t>
  </si>
  <si>
    <t xml:space="preserve">   C.II.5.quater. Receiv. due from others</t>
  </si>
  <si>
    <t xml:space="preserve">   C.II.5.quater. Receiv. due from others - beyond 12 months</t>
  </si>
  <si>
    <t xml:space="preserve">   C.II. RECEIV. DUE WITHIN 12 MONTHS</t>
  </si>
  <si>
    <t xml:space="preserve">   Amounts due for advance taxation</t>
  </si>
  <si>
    <t xml:space="preserve">   C.II. RECEIV. DUE BEYOND 12 MONTHS</t>
  </si>
  <si>
    <t xml:space="preserve">  C.III. TOTAL FINANCIAL ASSETS</t>
  </si>
  <si>
    <t xml:space="preserve">   C.III.1. Invest. in subs. comp.</t>
  </si>
  <si>
    <t xml:space="preserve">   C.III.2. Invest. in assoc. comp.</t>
  </si>
  <si>
    <t xml:space="preserve">   C.III.3. Invest. in parent comp.</t>
  </si>
  <si>
    <t xml:space="preserve">   C.III.3.bis. Invest. in comp. under parent companies control</t>
  </si>
  <si>
    <t xml:space="preserve">   C.III.4. Other investments</t>
  </si>
  <si>
    <t xml:space="preserve">   C.III.4.bis. Own shares</t>
  </si>
  <si>
    <t xml:space="preserve">   C.III.5. Derivatives</t>
  </si>
  <si>
    <t xml:space="preserve">   C.III.6. Other securities</t>
  </si>
  <si>
    <t xml:space="preserve">   C.III.7. Financial instruments for cash pooling</t>
  </si>
  <si>
    <t xml:space="preserve">  C.IV. TOTAL LIQUID FUNDS</t>
  </si>
  <si>
    <t xml:space="preserve">   C.IV.1. Bank and postal deposits</t>
  </si>
  <si>
    <t xml:space="preserve">   C.IV.2. Checks</t>
  </si>
  <si>
    <t xml:space="preserve">   C.IV.3. Cash and cash equivalents</t>
  </si>
  <si>
    <t xml:space="preserve"> D. TOTAL ACCRUED INCOME AND PREPAID EXPENSES</t>
  </si>
  <si>
    <t xml:space="preserve">  Accrued income and prepaid exp.</t>
  </si>
  <si>
    <t xml:space="preserve"> TOTAL ASSETS</t>
  </si>
  <si>
    <t xml:space="preserve"> Liabilities</t>
  </si>
  <si>
    <t xml:space="preserve"> Shareholders' funds</t>
  </si>
  <si>
    <t xml:space="preserve"> A. TOTAL SHAREHOLDERS' FUNDS</t>
  </si>
  <si>
    <t xml:space="preserve">  A.I. Capital stock</t>
  </si>
  <si>
    <t xml:space="preserve">   including: Prepaid call from shareholders</t>
  </si>
  <si>
    <t xml:space="preserve">   including: Deposits for future capital increase</t>
  </si>
  <si>
    <t xml:space="preserve">   including: Deposits for  capital</t>
  </si>
  <si>
    <t xml:space="preserve">   including: Deposits for  loss covering</t>
  </si>
  <si>
    <t xml:space="preserve">  A.II. Share premium reserve</t>
  </si>
  <si>
    <t xml:space="preserve">  A.III. Revaluation reserves</t>
  </si>
  <si>
    <t xml:space="preserve">  A.IV. Legal reserve</t>
  </si>
  <si>
    <t xml:space="preserve">  A.V. Statutory reserves</t>
  </si>
  <si>
    <t xml:space="preserve">  Reserve for treasury stock</t>
  </si>
  <si>
    <t xml:space="preserve">  A.VI. Other reserves</t>
  </si>
  <si>
    <t xml:space="preserve">  GROUP consolidation reserve</t>
  </si>
  <si>
    <t xml:space="preserve">  A.VII. Reserve for expected cash flow hedge</t>
  </si>
  <si>
    <t xml:space="preserve">  A.VIII. Retained earnings (losses)</t>
  </si>
  <si>
    <t xml:space="preserve">  A.IX. Profit (loss) for the year</t>
  </si>
  <si>
    <t xml:space="preserve">   Dividend down payment</t>
  </si>
  <si>
    <t xml:space="preserve">   Partial covering for loss of the year</t>
  </si>
  <si>
    <t xml:space="preserve">  A.X. Negative reserves for own shares (+/-)</t>
  </si>
  <si>
    <t xml:space="preserve">  Group capital stock and reserves</t>
  </si>
  <si>
    <t xml:space="preserve">  Minority interests in cap. and reserves</t>
  </si>
  <si>
    <t xml:space="preserve">   including: deferred taxes</t>
  </si>
  <si>
    <t xml:space="preserve">  Minority interests in profit (loss) for the year</t>
  </si>
  <si>
    <t xml:space="preserve">  MINORITY INTERESTS SHAREHOLDERS' FUNDS</t>
  </si>
  <si>
    <t xml:space="preserve"> B. TOTAL PROVISIONS FOR RISKS AND CHARGES</t>
  </si>
  <si>
    <t xml:space="preserve">  B.1. Employee pensions and similar obligations</t>
  </si>
  <si>
    <t xml:space="preserve">  B.2. Taxation (including deferred taxation)</t>
  </si>
  <si>
    <t xml:space="preserve">  B.3. Derivative liabilities</t>
  </si>
  <si>
    <t xml:space="preserve">  B.4. Other provisions</t>
  </si>
  <si>
    <t xml:space="preserve">  of which: consolidation provision</t>
  </si>
  <si>
    <t xml:space="preserve"> C. SEVERANCE INDEMNITY RESERVE</t>
  </si>
  <si>
    <t xml:space="preserve"> Payables</t>
  </si>
  <si>
    <t xml:space="preserve"> D. TOTAL PAYABLES</t>
  </si>
  <si>
    <t xml:space="preserve">  D.1. Bonds</t>
  </si>
  <si>
    <t xml:space="preserve">  D.1. Bonds beyond 12 months</t>
  </si>
  <si>
    <t xml:space="preserve">  D.2. Convertible bonds</t>
  </si>
  <si>
    <t xml:space="preserve">  D.2. Convertible bonds - beyond 12 months</t>
  </si>
  <si>
    <t xml:space="preserve">  D.3. Due to shareholders for loans</t>
  </si>
  <si>
    <t xml:space="preserve">  D.3. Due to shareholders for loans - beyond 12 months</t>
  </si>
  <si>
    <t xml:space="preserve">  D.4. Due to banks</t>
  </si>
  <si>
    <t xml:space="preserve">  D.4. Due to banks - beyond 12 months</t>
  </si>
  <si>
    <t xml:space="preserve">  D.5. Due to other lenders</t>
  </si>
  <si>
    <t xml:space="preserve">  D.5. Due to other lenders - beyond 12 months</t>
  </si>
  <si>
    <t xml:space="preserve">  D.6. Advances</t>
  </si>
  <si>
    <t xml:space="preserve">  D.6. Advances - beyond 12 months</t>
  </si>
  <si>
    <t xml:space="preserve">  D.7. Due to suppliers</t>
  </si>
  <si>
    <t xml:space="preserve">  D.7. Due to suppliers - beyond 12 months</t>
  </si>
  <si>
    <t xml:space="preserve">  D.8. Negotiable instruments</t>
  </si>
  <si>
    <t xml:space="preserve">  D.8. Negotiable instruments - beyond 12 months</t>
  </si>
  <si>
    <t xml:space="preserve">  D.9. Due to subsidiary companies</t>
  </si>
  <si>
    <t xml:space="preserve">  D.9. Due to subsidiary companies - beyond 12 months</t>
  </si>
  <si>
    <t xml:space="preserve">  D.10. Due to associated companies</t>
  </si>
  <si>
    <t xml:space="preserve">  D.10. Due to associated companies -beyond 12 months</t>
  </si>
  <si>
    <t xml:space="preserve">  D.11. Due to parent companies</t>
  </si>
  <si>
    <t xml:space="preserve">  D.11. Due to parent companies beyond 12 months</t>
  </si>
  <si>
    <t xml:space="preserve">  D.11.bis. Due to comp. under parent companies control</t>
  </si>
  <si>
    <t xml:space="preserve">  D.11.bis. Due to comp. under parent companies control - beyond 12 month</t>
  </si>
  <si>
    <t xml:space="preserve">  D.12. Tax payable</t>
  </si>
  <si>
    <t xml:space="preserve">  D.12. Tax payable beyond 12 months</t>
  </si>
  <si>
    <t xml:space="preserve">  D.13. Due to social security institutions</t>
  </si>
  <si>
    <t xml:space="preserve">  D.13. Due to social security institutions - beyond 12 months</t>
  </si>
  <si>
    <t xml:space="preserve">  D.14. Other payables</t>
  </si>
  <si>
    <t xml:space="preserve">  D.14. Other payables beyond 12 months</t>
  </si>
  <si>
    <t xml:space="preserve">  D. Payables due within 12 months</t>
  </si>
  <si>
    <t xml:space="preserve">  D. Payables due beyond 12 months</t>
  </si>
  <si>
    <t xml:space="preserve">  Total payables during period</t>
  </si>
  <si>
    <t xml:space="preserve">  Total payables after period</t>
  </si>
  <si>
    <t xml:space="preserve"> E. TOTAL ACCRUED EXPENSES AND DEFERRED INCOME</t>
  </si>
  <si>
    <t xml:space="preserve">  Fees on loans</t>
  </si>
  <si>
    <t xml:space="preserve"> TOTAL LIABILITIES AND SHAREHOLDERS' FUNDS</t>
  </si>
  <si>
    <t xml:space="preserve"> TOTAL MEMORANDUM ACCOUNTS</t>
  </si>
  <si>
    <t xml:space="preserve">  TOTAL WARRANTIES SUPPLIED</t>
  </si>
  <si>
    <t>Profit and loss account</t>
  </si>
  <si>
    <t xml:space="preserve"> A. TOTAL VALUE OF PRODUCTION</t>
  </si>
  <si>
    <t xml:space="preserve">  A.1. Revenues from sales and services</t>
  </si>
  <si>
    <t xml:space="preserve">  A.2. Changes in inventories</t>
  </si>
  <si>
    <t xml:space="preserve">  A.3. Changes in contract work in progress</t>
  </si>
  <si>
    <t xml:space="preserve">  A.2. + A.3. Total changes</t>
  </si>
  <si>
    <t xml:space="preserve">  A.4. Additions to fixed assets</t>
  </si>
  <si>
    <t xml:space="preserve">  A.5. Other revenue</t>
  </si>
  <si>
    <t xml:space="preserve">  operating grants</t>
  </si>
  <si>
    <t xml:space="preserve"> B. TOTAL PRODUCTION COSTS</t>
  </si>
  <si>
    <t xml:space="preserve">  B.6. Raw, consum. mat. and goods for resale</t>
  </si>
  <si>
    <t xml:space="preserve">  B.7. Services</t>
  </si>
  <si>
    <t xml:space="preserve">  B.8. Use of third parties assets</t>
  </si>
  <si>
    <t xml:space="preserve">  B.9. Total personnel costs</t>
  </si>
  <si>
    <t xml:space="preserve">   B.9.a. Wages and salaries</t>
  </si>
  <si>
    <t xml:space="preserve">   B.9.b. Social security charges</t>
  </si>
  <si>
    <t xml:space="preserve">   B.9.c. Severance indemnities</t>
  </si>
  <si>
    <t xml:space="preserve">   B.9.d. Pensions and similar obligations</t>
  </si>
  <si>
    <t xml:space="preserve">   B.9.e. Other costs</t>
  </si>
  <si>
    <t xml:space="preserve">   B.9.f. Severance indemnity + Pension + Other costs</t>
  </si>
  <si>
    <t xml:space="preserve">  B.10. Total depreciation, amortization and writedowns</t>
  </si>
  <si>
    <t xml:space="preserve">   B.10.a. Amort. of intangible fixed assets</t>
  </si>
  <si>
    <t xml:space="preserve">   B.10.b. Depr. of tangible fixed assets</t>
  </si>
  <si>
    <t xml:space="preserve">   B.10.c. Writedown of fixed assets</t>
  </si>
  <si>
    <t xml:space="preserve">   B.10.a+b+c. Depreciation, amortization and writedowns of fixed assets</t>
  </si>
  <si>
    <t xml:space="preserve">   B.10.d. Writedown of receivables</t>
  </si>
  <si>
    <t xml:space="preserve">  B.11. Change in inventory of raw and consumable materials</t>
  </si>
  <si>
    <t xml:space="preserve">  B.12. Provisions fo risks and charges</t>
  </si>
  <si>
    <t xml:space="preserve">  B.13. Other provisions</t>
  </si>
  <si>
    <t xml:space="preserve">  B.14. Other operating expenses</t>
  </si>
  <si>
    <t xml:space="preserve"> OPERATING MARGIN</t>
  </si>
  <si>
    <t xml:space="preserve"> Added Value</t>
  </si>
  <si>
    <t xml:space="preserve"> C. TOTAL FINANCIAL INCOME AND CHARGES</t>
  </si>
  <si>
    <t xml:space="preserve">  C.15. Total income from equity investments</t>
  </si>
  <si>
    <t xml:space="preserve">  of which: from subsidiaries, associated, parent cies and cies under parent cies control</t>
  </si>
  <si>
    <t xml:space="preserve">   of which: from parent companies</t>
  </si>
  <si>
    <t xml:space="preserve">   of which: from companies under parent companies control</t>
  </si>
  <si>
    <t xml:space="preserve">  C.16. Total other financial income</t>
  </si>
  <si>
    <t xml:space="preserve">   C.16.a. From financial receivables</t>
  </si>
  <si>
    <t xml:space="preserve">    of which: from subsidiaries, associated, parent cies and cies under parent cies control</t>
  </si>
  <si>
    <t xml:space="preserve">    of which: from companies under parent companies control</t>
  </si>
  <si>
    <t xml:space="preserve">   C.16.b. From securities held as fixed assets</t>
  </si>
  <si>
    <t xml:space="preserve">   C.16.c. From securities held as current assets</t>
  </si>
  <si>
    <t xml:space="preserve">   C.16.b+c. From securities</t>
  </si>
  <si>
    <t xml:space="preserve">   C.16.d. Income other than the above</t>
  </si>
  <si>
    <t xml:space="preserve">  C.17. Total financial charges</t>
  </si>
  <si>
    <t xml:space="preserve">   of which: from financial receivables subs and assoc.</t>
  </si>
  <si>
    <t xml:space="preserve">  C.17.bis Profit and Loss on Foreign Exchange</t>
  </si>
  <si>
    <t xml:space="preserve"> D. TOTAL FINANCIAL ASSETS ADJUSTMENTS</t>
  </si>
  <si>
    <t xml:space="preserve">  D.18. Total Revaluations</t>
  </si>
  <si>
    <t xml:space="preserve">   D.18.a. Reval. of equity investments</t>
  </si>
  <si>
    <t xml:space="preserve">   D.18.b. Reval. of other financial assets</t>
  </si>
  <si>
    <t xml:space="preserve">   D.18.c. Reval. of securities</t>
  </si>
  <si>
    <t xml:space="preserve">   D.18.d. Reval. of derivatives</t>
  </si>
  <si>
    <t xml:space="preserve">   Reval. of financial instruments for cash pooling</t>
  </si>
  <si>
    <t xml:space="preserve">  D.19. Total Writedowns</t>
  </si>
  <si>
    <t xml:space="preserve">   D.19.a. Writedowns of equity invest.</t>
  </si>
  <si>
    <t xml:space="preserve">   D.19.b. Writedowns of other fin. Ass.</t>
  </si>
  <si>
    <t xml:space="preserve">   D.19.c. Writedowns of securities</t>
  </si>
  <si>
    <t xml:space="preserve">   D.19.d. Writedowns of derivatives</t>
  </si>
  <si>
    <t xml:space="preserve">   Writedowns of financial instruments for cash pooling</t>
  </si>
  <si>
    <t xml:space="preserve"> TOTAL EXTRAORDINARY REVENUES AND CHARGES</t>
  </si>
  <si>
    <t xml:space="preserve">  Extraordinary revenues</t>
  </si>
  <si>
    <t xml:space="preserve">   of which capital gains</t>
  </si>
  <si>
    <t xml:space="preserve">  Extraordinary charges</t>
  </si>
  <si>
    <t xml:space="preserve">   of which capital losses</t>
  </si>
  <si>
    <t xml:space="preserve">   of which taxes previous period</t>
  </si>
  <si>
    <t xml:space="preserve"> PROFIT/LOSS BEFORE TAXATION</t>
  </si>
  <si>
    <t xml:space="preserve">  20. Total current, deferred and prepaid income taxes</t>
  </si>
  <si>
    <t xml:space="preserve">   Current taxes</t>
  </si>
  <si>
    <t xml:space="preserve">   Taxation related to previous years</t>
  </si>
  <si>
    <t xml:space="preserve">   Prepaid and deferred taxes</t>
  </si>
  <si>
    <t xml:space="preserve">   deferred taxation (+/-)</t>
  </si>
  <si>
    <t xml:space="preserve">   advance taxation (+/-)</t>
  </si>
  <si>
    <t xml:space="preserve">   Income (expenses) for adherence to fiscal transparency regime</t>
  </si>
  <si>
    <t xml:space="preserve">  21. PROFIT (LOSS)</t>
  </si>
  <si>
    <t xml:space="preserve">  PROFIT (LOSS) THIRD PARTIES</t>
  </si>
  <si>
    <t xml:space="preserve">  PROFIT (LOSS) GROUP</t>
  </si>
  <si>
    <t xml:space="preserve">   Employees</t>
  </si>
  <si>
    <t>Ratios</t>
  </si>
  <si>
    <t xml:space="preserve">  1. Financial indicators</t>
  </si>
  <si>
    <t xml:space="preserve">   - Liquidity ratio</t>
  </si>
  <si>
    <t xml:space="preserve">   - Current ratio</t>
  </si>
  <si>
    <t xml:space="preserve">   - Current liabilities/Tot ass.</t>
  </si>
  <si>
    <t xml:space="preserve">   - Long/med term liab/Tot ass.</t>
  </si>
  <si>
    <t xml:space="preserve">   - Tang. fixed ass./Share funds</t>
  </si>
  <si>
    <t xml:space="preserve">   - Depr./Tang. fixed assets</t>
  </si>
  <si>
    <t xml:space="preserve">   - Leverage</t>
  </si>
  <si>
    <t xml:space="preserve">   - Coverage of fixed assets</t>
  </si>
  <si>
    <t xml:space="preserve">   - Banks/Turnover</t>
  </si>
  <si>
    <t xml:space="preserve">   - Cost of debit</t>
  </si>
  <si>
    <t>n.s.</t>
  </si>
  <si>
    <t xml:space="preserve">   - Interest/Operating profit</t>
  </si>
  <si>
    <t xml:space="preserve">   - Interest/Turnover</t>
  </si>
  <si>
    <t xml:space="preserve">   - Solvency ratio</t>
  </si>
  <si>
    <t xml:space="preserve">   - Share funds/Liabilities</t>
  </si>
  <si>
    <t xml:space="preserve">   - Net Financial Position</t>
  </si>
  <si>
    <t xml:space="preserve">   - Debt/Equity ratio</t>
  </si>
  <si>
    <t xml:space="preserve">   - Debt/EBITDA ratio</t>
  </si>
  <si>
    <t xml:space="preserve">  2. Management ratios</t>
  </si>
  <si>
    <t xml:space="preserve">   - Total assets turnover (times)</t>
  </si>
  <si>
    <t xml:space="preserve">   - Working cap. turnover (times)</t>
  </si>
  <si>
    <t xml:space="preserve">   - Incidenza circolante operativo</t>
  </si>
  <si>
    <t xml:space="preserve">   - Stocks/Turnover (days)</t>
  </si>
  <si>
    <t xml:space="preserve">   - Stocks/Cost goods sold (days)</t>
  </si>
  <si>
    <t xml:space="preserve">   - Durata media dei crediti al lordo IVA (days)</t>
  </si>
  <si>
    <t xml:space="preserve">   - Durata media dei debiti al lordo IVA (days)</t>
  </si>
  <si>
    <t xml:space="preserve">   - Durata Ciclo Commerciale (days)</t>
  </si>
  <si>
    <t xml:space="preserve">  3. Profitability ratios</t>
  </si>
  <si>
    <t xml:space="preserve">   - EBITDA</t>
  </si>
  <si>
    <t xml:space="preserve">   - EBITDA/Vendite</t>
  </si>
  <si>
    <t xml:space="preserve">   - Return on asset (ROA)</t>
  </si>
  <si>
    <t xml:space="preserve">   - Return on investment (ROI)</t>
  </si>
  <si>
    <t xml:space="preserve">   - Return on sales (ROS)</t>
  </si>
  <si>
    <t xml:space="preserve">   - Return on equity (ROE)</t>
  </si>
  <si>
    <t xml:space="preserve">   - Net P&amp;L / Operating P&amp;L</t>
  </si>
  <si>
    <t xml:space="preserve">  4. Productivity ratios</t>
  </si>
  <si>
    <t xml:space="preserve">   - Number of employees</t>
  </si>
  <si>
    <t xml:space="preserve">   - Turnover per employee</t>
  </si>
  <si>
    <t xml:space="preserve">   - Added value per employee</t>
  </si>
  <si>
    <t xml:space="preserve">   - Staff Costs per employee</t>
  </si>
  <si>
    <t xml:space="preserve">   - Turnover/Staff Costs</t>
  </si>
  <si>
    <t xml:space="preserve">  5. Significant data</t>
  </si>
  <si>
    <t xml:space="preserve">   - Net working capital</t>
  </si>
  <si>
    <t xml:space="preserve">   - Gross profit</t>
  </si>
  <si>
    <t xml:space="preserve">   - Net short term assets</t>
  </si>
  <si>
    <t xml:space="preserve">   - Share funds - Fixed assets</t>
  </si>
  <si>
    <t xml:space="preserve">   - Cash Flow</t>
  </si>
  <si>
    <t>Probability of Default</t>
  </si>
  <si>
    <t>You have no access to Probability of default module.</t>
  </si>
  <si>
    <t>DFKA rating</t>
  </si>
  <si>
    <t>You have no access to the DFKA module.</t>
  </si>
  <si>
    <t>Current Directors / Managers / Contacts</t>
  </si>
  <si>
    <t>Boards &amp; committees</t>
  </si>
  <si>
    <t>= also shareholder</t>
  </si>
  <si>
    <t>Original job title</t>
  </si>
  <si>
    <t>Body</t>
  </si>
  <si>
    <t>Source</t>
  </si>
  <si>
    <t>1. </t>
  </si>
  <si>
    <t>Mr Michael Klemera</t>
  </si>
  <si>
    <t>-</t>
  </si>
  <si>
    <t>President of the Board of Directors; Member of the Board (since 05/07/2001)</t>
  </si>
  <si>
    <t>BoD</t>
  </si>
  <si>
    <t>HO</t>
  </si>
  <si>
    <t>P014532542</t>
  </si>
  <si>
    <t>Cerved (received on 16/09/2025)</t>
  </si>
  <si>
    <t>2. </t>
  </si>
  <si>
    <t>Mr Matthias Baumgartner</t>
  </si>
  <si>
    <t>Deputy President of the Board of Directors; Member of the Board (since 02/05/2019)</t>
  </si>
  <si>
    <t>P204168936</t>
  </si>
  <si>
    <t>3. </t>
  </si>
  <si>
    <t>Mr Hoerst Voelser</t>
  </si>
  <si>
    <t>Member of the Board (since 20/06/2005)</t>
  </si>
  <si>
    <t>P070586322</t>
  </si>
  <si>
    <t>Management &amp; staff</t>
  </si>
  <si>
    <t>Dept</t>
  </si>
  <si>
    <t>General Manager (since 20/06/2005)</t>
  </si>
  <si>
    <t>SenMan</t>
  </si>
  <si>
    <t>Controlling shareholders</t>
  </si>
  <si>
    <t>BvD Independence Indicator: D</t>
  </si>
  <si>
    <t>Current definition of the UO:</t>
  </si>
  <si>
    <t>path of min 50,01% of control, known or unknown shareholders, any entities.</t>
  </si>
  <si>
    <r>
      <rPr>
        <sz val="8"/>
        <color rgb="FF333333"/>
        <rFont val="Verdana"/>
        <family val="2"/>
      </rPr>
      <t xml:space="preserve"> The companies/individuals underlined and displayed in bold blue are available on</t>
    </r>
    <r>
      <rPr>
        <b/>
        <u/>
        <sz val="8"/>
        <color rgb="FF003366"/>
        <rFont val="Verdana"/>
        <family val="2"/>
      </rPr>
      <t>AIDA/CONTACTS</t>
    </r>
  </si>
  <si>
    <t>Ownership</t>
  </si>
  <si>
    <t>Company information</t>
  </si>
  <si>
    <t>Shareholder name</t>
  </si>
  <si>
    <t>Country</t>
  </si>
  <si>
    <t>Type</t>
  </si>
  <si>
    <t>Direct (%)</t>
  </si>
  <si>
    <t>Total (%)</t>
  </si>
  <si>
    <t>Source ident.</t>
  </si>
  <si>
    <t>Date of info.</t>
  </si>
  <si>
    <t>Op.
Revenue
(m EUR)*</t>
  </si>
  <si>
    <t>No of
employees</t>
  </si>
  <si>
    <t>MR MARKUS BAUMGARTNER</t>
  </si>
  <si>
    <t>IT</t>
  </si>
  <si>
    <t>I</t>
  </si>
  <si>
    <t>51,00</t>
  </si>
  <si>
    <t>C</t>
  </si>
  <si>
    <t>= Also previous manager in the company underneath in the path</t>
  </si>
  <si>
    <t>*</t>
  </si>
  <si>
    <t>= For an insurance company the corresponding value is the Gross Premium Written and for a bank it is the Operating Income (memo)</t>
  </si>
  <si>
    <t>Current subsidiaries</t>
  </si>
  <si>
    <r>
      <rPr>
        <b/>
        <sz val="8"/>
        <color rgb="FF003366"/>
        <rFont val="Verdana"/>
        <family val="2"/>
      </rPr>
      <t>Current filter:</t>
    </r>
    <r>
      <rPr>
        <sz val="8"/>
        <color rgb="FF333333"/>
        <rFont val="Verdana"/>
        <family val="2"/>
      </rPr>
      <t>No filter</t>
    </r>
  </si>
  <si>
    <r>
      <rPr>
        <sz val="8"/>
        <color rgb="FF333333"/>
        <rFont val="Verdana"/>
        <family val="2"/>
      </rPr>
      <t xml:space="preserve"> The companies underlined and displayed in bold grey are available on other</t>
    </r>
    <r>
      <rPr>
        <b/>
        <u/>
        <sz val="8"/>
        <color rgb="FF858585"/>
        <rFont val="Verdana"/>
        <family val="2"/>
      </rPr>
      <t>BvD Databases</t>
    </r>
    <r>
      <rPr>
        <sz val="8"/>
        <color rgb="FF333333"/>
        <rFont val="Verdana"/>
        <family val="2"/>
      </rPr>
      <t>.</t>
    </r>
  </si>
  <si>
    <t>Subsidiary name</t>
  </si>
  <si>
    <t>Level of own.</t>
  </si>
  <si>
    <t>Status</t>
  </si>
  <si>
    <t>Vari- ation</t>
  </si>
  <si>
    <t>LUIS T. AG</t>
  </si>
  <si>
    <t>CH</t>
  </si>
  <si>
    <t>100,00</t>
  </si>
  <si>
    <t>ð</t>
  </si>
  <si>
    <t>LUIS TRENKER SHOP GMBH</t>
  </si>
  <si>
    <t>AT</t>
  </si>
  <si>
    <t>IP</t>
  </si>
  <si>
    <t>Mergers &amp; acquisitions deals</t>
  </si>
  <si>
    <t>No mergers &amp; acquisitions deals are available for this company.</t>
  </si>
  <si>
    <t>x</t>
  </si>
  <si>
    <t>CONSOLIDATED BALANCE SHEET</t>
  </si>
  <si>
    <t>(in Euro million)</t>
  </si>
  <si>
    <t>ASSETS</t>
  </si>
  <si>
    <t>Non-current assets</t>
  </si>
  <si>
    <t>Concessions</t>
  </si>
  <si>
    <t>Goodwill</t>
  </si>
  <si>
    <t>Other intangible assets</t>
  </si>
  <si>
    <t>Tangible fixed assets</t>
  </si>
  <si>
    <t>Investments</t>
  </si>
  <si>
    <t>Deferred tax assets</t>
  </si>
  <si>
    <t>Other non-current receivables and financial assets</t>
  </si>
  <si>
    <t>Total non-current assets</t>
  </si>
  <si>
    <t>Current assets</t>
  </si>
  <si>
    <t>Trade receivables</t>
  </si>
  <si>
    <t>Inventories</t>
  </si>
  <si>
    <t>Cash and cash equivalents</t>
  </si>
  <si>
    <t>Other current assets and financial current assets</t>
  </si>
  <si>
    <t>Total current assets</t>
  </si>
  <si>
    <t>Assets held for sale and discounting operations</t>
  </si>
  <si>
    <t>TOTAL ASSETS</t>
  </si>
  <si>
    <t>EQUITY AND LIABILITIES</t>
  </si>
  <si>
    <t>Equity</t>
  </si>
  <si>
    <t>Share Capital</t>
  </si>
  <si>
    <t>Other reserves</t>
  </si>
  <si>
    <t>Retained earnings</t>
  </si>
  <si>
    <t>Group profit (loss) for the period</t>
  </si>
  <si>
    <t>Total Equity Attributable to Equity Holders of the Parent</t>
  </si>
  <si>
    <t>Non-controlling-interest</t>
  </si>
  <si>
    <t>TOTAL CONSOLIDATED EQUITY</t>
  </si>
  <si>
    <t>Liabilities</t>
  </si>
  <si>
    <t>Non-current liabilities</t>
  </si>
  <si>
    <t>Provisions for risks and charges</t>
  </si>
  <si>
    <t>Employee benefits</t>
  </si>
  <si>
    <t>Deferred tax liabilities</t>
  </si>
  <si>
    <t>Non-current liabilities to banks and other financial istitutions</t>
  </si>
  <si>
    <t>Other non-current liabilities</t>
  </si>
  <si>
    <t>Total non-current liabilities</t>
  </si>
  <si>
    <t>Current liabilities</t>
  </si>
  <si>
    <t>Trade payables</t>
  </si>
  <si>
    <t>Current liabilities to banks and other financial institutions</t>
  </si>
  <si>
    <t>Current tax payables</t>
  </si>
  <si>
    <t>Other current liabilities</t>
  </si>
  <si>
    <t>Total current liabilities</t>
  </si>
  <si>
    <t>Libilities held for sale and discountiung</t>
  </si>
  <si>
    <t>TOTAL LIABILITIES</t>
  </si>
  <si>
    <t>TOTAL LIABILITIES AND EQUITY</t>
  </si>
  <si>
    <t>REFORMULATED BALANCE SHEET</t>
  </si>
  <si>
    <t xml:space="preserve">YEAR TO YEAR GROWTH RATES </t>
  </si>
  <si>
    <t>CAGR 2021-2024</t>
  </si>
  <si>
    <t>(€ millions)</t>
  </si>
  <si>
    <t>Operating Assets</t>
  </si>
  <si>
    <t>Accounts receivable</t>
  </si>
  <si>
    <t>Property, plant &amp; equipment</t>
  </si>
  <si>
    <t>Other current assets</t>
  </si>
  <si>
    <t>Other non-current assets</t>
  </si>
  <si>
    <t>Total Operating Assets</t>
  </si>
  <si>
    <t>Investment in associated companies</t>
  </si>
  <si>
    <t>Other financial assets</t>
  </si>
  <si>
    <t>Total Financial Assets</t>
  </si>
  <si>
    <t>LIABILITIES AND EQUITY</t>
  </si>
  <si>
    <t>Operating Liabilities</t>
  </si>
  <si>
    <t>Trade Creditors</t>
  </si>
  <si>
    <t>Other creditors</t>
  </si>
  <si>
    <t>Income tax payable</t>
  </si>
  <si>
    <t>Social expenditure payable</t>
  </si>
  <si>
    <t>Total Operating Liabilities</t>
  </si>
  <si>
    <t>Financial Liabilities</t>
  </si>
  <si>
    <t>Current portion of long-term debt</t>
  </si>
  <si>
    <t>Current loans &amp; overdrafts</t>
  </si>
  <si>
    <t>Other short-term debt</t>
  </si>
  <si>
    <t>Total long-term interest-bearing debt</t>
  </si>
  <si>
    <t>Total other non-current liabilities</t>
  </si>
  <si>
    <t>Total Financial Liabilities</t>
  </si>
  <si>
    <t>Shareholders Equity</t>
  </si>
  <si>
    <t>Other shareholders' funds</t>
  </si>
  <si>
    <t>Retained Earnings</t>
  </si>
  <si>
    <t>TOTAL EQUITY</t>
  </si>
  <si>
    <t>REFORMULATED BALANCE SHEET: Invested Capital - Source of Capital</t>
  </si>
  <si>
    <t>Net Operating Assets (NOA)</t>
  </si>
  <si>
    <t>Financial Assets</t>
  </si>
  <si>
    <t xml:space="preserve">Net Financial Obligation (NFO) </t>
  </si>
  <si>
    <t>Net Financial Obligation (NFO) (Net Financial Assets-NFA)</t>
  </si>
  <si>
    <t>Net Liabilities and Equity</t>
  </si>
  <si>
    <t>CONSOLIDATED  PROFIT &amp; LOSS</t>
  </si>
  <si>
    <t>Revenue</t>
  </si>
  <si>
    <t xml:space="preserve">Total revenues and Operating income </t>
  </si>
  <si>
    <t>Cost of Good Sold</t>
  </si>
  <si>
    <t>Other operating income (expense)</t>
  </si>
  <si>
    <t>Total depreciation, amortization &amp; depletion</t>
  </si>
  <si>
    <t>Total operating expense</t>
  </si>
  <si>
    <t>Operating profit (loss) EBIT</t>
  </si>
  <si>
    <t>Finance Revenue</t>
  </si>
  <si>
    <t>Finance Expense</t>
  </si>
  <si>
    <t>Other non-operating and financial income (expenses)</t>
  </si>
  <si>
    <t>Financial profit (loss)</t>
  </si>
  <si>
    <t>Financial assets adjustments</t>
  </si>
  <si>
    <t>Profit (loss) before tax (PBT)</t>
  </si>
  <si>
    <t>Income taxes</t>
  </si>
  <si>
    <t>NET PROFIT (PAT)</t>
  </si>
  <si>
    <t>INCOME STATEMENT - Pre Tax Allocation</t>
  </si>
  <si>
    <t>YEAR TO YEAR GROWTH RATES</t>
  </si>
  <si>
    <t>Revenues</t>
  </si>
  <si>
    <t>COGS</t>
  </si>
  <si>
    <t>Gross Profit</t>
  </si>
  <si>
    <t>Operating Expenses</t>
  </si>
  <si>
    <t>Core operating Income</t>
  </si>
  <si>
    <t>Operating Income</t>
  </si>
  <si>
    <t>Net Interest Income (expense)</t>
  </si>
  <si>
    <t>Financial Income</t>
  </si>
  <si>
    <t>Financial Expense</t>
  </si>
  <si>
    <t>Other non operating and financial income(expense)</t>
  </si>
  <si>
    <t>Financial asset adjustments</t>
  </si>
  <si>
    <t>Earnings before Taxes (EBT)</t>
  </si>
  <si>
    <t>Income Tax Expense</t>
  </si>
  <si>
    <t>Net Income from continuing operations</t>
  </si>
  <si>
    <t>Income (loss) from discounted operations</t>
  </si>
  <si>
    <t>Extraordinary gains (losses)</t>
  </si>
  <si>
    <t>Changes in accounting principles</t>
  </si>
  <si>
    <t>Net Income</t>
  </si>
  <si>
    <t>INCOME STATEMENT - After Tax Allocation</t>
  </si>
  <si>
    <t>Tax as reported</t>
  </si>
  <si>
    <t>Tax on (benefit from) other operating income</t>
  </si>
  <si>
    <t>Tax on (benefit from) net interest expenses</t>
  </si>
  <si>
    <t>Total Tax on Core Operating Income</t>
  </si>
  <si>
    <t>NOPAT Core</t>
  </si>
  <si>
    <t>Other operating income (expense) (before tax)</t>
  </si>
  <si>
    <t>Tax on other operating income</t>
  </si>
  <si>
    <t>NOPAT</t>
  </si>
  <si>
    <t>Net Interest Income (Expense) before tax</t>
  </si>
  <si>
    <t>Other non operating and financial income</t>
  </si>
  <si>
    <t>Net financial Income (expenses) after tax</t>
  </si>
  <si>
    <t>REFORMULATED INCOME STATEMENT - SIMPLIFIED</t>
  </si>
  <si>
    <t>Income Tax on core operating income items</t>
  </si>
  <si>
    <t>Core Operating Income After Tax</t>
  </si>
  <si>
    <t>Operating Income (After tax effect) - NOPAT</t>
  </si>
  <si>
    <t>Net Financial Income (Expense) After Tax</t>
  </si>
  <si>
    <t>Extraordinary, discounted and change accounting principles</t>
  </si>
  <si>
    <t>STATUTORY TAX RATE CALCULATION</t>
  </si>
  <si>
    <t>Year</t>
  </si>
  <si>
    <t>Tax = Tax /EBT</t>
  </si>
  <si>
    <t>Income tax expense</t>
  </si>
  <si>
    <t>EBT</t>
  </si>
  <si>
    <t>REFORMULATED CASH FLOW</t>
  </si>
  <si>
    <t>thousands of euros</t>
  </si>
  <si>
    <t>Table 1.e</t>
  </si>
  <si>
    <t>Luis Trenker S.r.l.</t>
  </si>
  <si>
    <t>ADDITIONAL INFORMATION FOR PROFITABILITY ANALYSIS</t>
  </si>
  <si>
    <t>OA</t>
  </si>
  <si>
    <t>OL</t>
  </si>
  <si>
    <t>Operating Liabilites</t>
  </si>
  <si>
    <t>NOA</t>
  </si>
  <si>
    <t>Net Operating Assets</t>
  </si>
  <si>
    <t>FA</t>
  </si>
  <si>
    <t>FL</t>
  </si>
  <si>
    <t>NFO (NFA)</t>
  </si>
  <si>
    <t>Net Financial Obligation (Net Financial Assets)</t>
  </si>
  <si>
    <t>Average NOA</t>
  </si>
  <si>
    <t>Average Total Financial Assets</t>
  </si>
  <si>
    <t>Average Total Financial Liabilities</t>
  </si>
  <si>
    <t>Average Net Financial Obligation (Net Financial Assets)</t>
  </si>
  <si>
    <t>EQUITY</t>
  </si>
  <si>
    <t>Average Equity</t>
  </si>
  <si>
    <t>Account Receivable</t>
  </si>
  <si>
    <t>Inventory</t>
  </si>
  <si>
    <t>Accounts Payable</t>
  </si>
  <si>
    <t>Average Account Receivable</t>
  </si>
  <si>
    <t>Average Inventory</t>
  </si>
  <si>
    <t>Average Accounts Payable</t>
  </si>
  <si>
    <t>COGS (manufacturing) or Cost of Sales (other industries)</t>
  </si>
  <si>
    <t>NOPAT CORE</t>
  </si>
  <si>
    <t>Core Operating Income from sales (After tax effect)</t>
  </si>
  <si>
    <t>UI</t>
  </si>
  <si>
    <t>Unusual Item (after tax effect)</t>
  </si>
  <si>
    <t>Financial Income (after tax effect)</t>
  </si>
  <si>
    <t>Financial Expenses (after tax effect)</t>
  </si>
  <si>
    <t>NFE</t>
  </si>
  <si>
    <t>Net financial expense (income) after tax</t>
  </si>
  <si>
    <t>Net Income attribuitable to common shareholder</t>
  </si>
  <si>
    <t>Gross Tangible Assets</t>
  </si>
  <si>
    <t>Depreciation</t>
  </si>
  <si>
    <t>Accumulated Depreciation</t>
  </si>
  <si>
    <t>PP&amp;E net</t>
  </si>
  <si>
    <t>Average Assets</t>
  </si>
  <si>
    <t>GROWTH ANALYSIS</t>
  </si>
  <si>
    <t>Numerator</t>
  </si>
  <si>
    <t>Denominator</t>
  </si>
  <si>
    <t>Revenues (t) - Revenues (t-1)</t>
  </si>
  <si>
    <t>Revenues (t-1)</t>
  </si>
  <si>
    <t>Core Operating Income</t>
  </si>
  <si>
    <t>CORE NOPAT (t) - CORE NOPAT (t-1)</t>
  </si>
  <si>
    <t>CORE NOPAT (t-1)</t>
  </si>
  <si>
    <t>NOPAT (t) - NOPAT (t-1)</t>
  </si>
  <si>
    <t>NOPAT (t-1)</t>
  </si>
  <si>
    <t>NOA (t) - NOA (t-1)</t>
  </si>
  <si>
    <t>NOA (t-1)</t>
  </si>
  <si>
    <t>PROFITABILITY ANALYSIS</t>
  </si>
  <si>
    <t>SUMMARY MEASURE</t>
  </si>
  <si>
    <t>ROE</t>
  </si>
  <si>
    <t>RNOA</t>
  </si>
  <si>
    <t>ROA</t>
  </si>
  <si>
    <t>Profit magin for ROA</t>
  </si>
  <si>
    <t>Asset Turnover for ROA</t>
  </si>
  <si>
    <t>Financial leverage for ROA</t>
  </si>
  <si>
    <t>CHECK</t>
  </si>
  <si>
    <t>Distinguish financing, operating and leverage</t>
  </si>
  <si>
    <t>RNOA+(FLEV * (RONA-NBC)*X</t>
  </si>
  <si>
    <t>Avg NOA</t>
  </si>
  <si>
    <t>Net Borrowing Cost/RNFA</t>
  </si>
  <si>
    <t>FLEV</t>
  </si>
  <si>
    <t>SPREAD</t>
  </si>
  <si>
    <t>Spread=RNOA - NBC</t>
  </si>
  <si>
    <t>FLEV*SPREAD</t>
  </si>
  <si>
    <t>X (Extr. items and Disc. Op Effect)</t>
  </si>
  <si>
    <t>Drivers of operating profitability</t>
  </si>
  <si>
    <t>Profit Margin (ROS)</t>
  </si>
  <si>
    <t>Unusual or Infrequent items</t>
  </si>
  <si>
    <t>Core RNOA</t>
  </si>
  <si>
    <t>Core Profit Margin (ROS)</t>
  </si>
  <si>
    <t>Asset Turnover (CT)</t>
  </si>
  <si>
    <t>Net Borrowing Cost (Return from net financial assets) drivers</t>
  </si>
  <si>
    <t>ROD</t>
  </si>
  <si>
    <t>Weight of Financial Obbligation (FO)</t>
  </si>
  <si>
    <t>RFA (FI/FA)</t>
  </si>
  <si>
    <t>Weight of Financial Assets (FA)</t>
  </si>
  <si>
    <t>THIRD LEVEL BREAK DOWN</t>
  </si>
  <si>
    <t>Sales</t>
  </si>
  <si>
    <t>Other operating expense</t>
  </si>
  <si>
    <t>Capital Turnover drivers</t>
  </si>
  <si>
    <t>Accounts Receivable Turnover (ART)</t>
  </si>
  <si>
    <t>Inventory Turnover (INVT)</t>
  </si>
  <si>
    <t>Accounts Payable Turnover (APT)</t>
  </si>
  <si>
    <t>Days' Sales Outstanding Receivable</t>
  </si>
  <si>
    <t>Accounts Receivable Turnover</t>
  </si>
  <si>
    <t>Days' Sales in Inventory</t>
  </si>
  <si>
    <t>Inventory Turnover</t>
  </si>
  <si>
    <t>Days' Purchases Outstanding Payable</t>
  </si>
  <si>
    <t>Accounts Payable Turnover</t>
  </si>
  <si>
    <t>Operating Cycle</t>
  </si>
  <si>
    <t>Days' Sales Outstanding Receivable + Days' Sales in Inventory</t>
  </si>
  <si>
    <t>Cash Cycle</t>
  </si>
  <si>
    <t>Operating Cycle - Days' Purchases Outstanding Payable</t>
  </si>
  <si>
    <t>Accumulation Rate</t>
  </si>
  <si>
    <t>Gross Tangible Assets (t) - Gross Tangible Assets (t-1)</t>
  </si>
  <si>
    <t>Gross Tangible Assets (t-1)</t>
  </si>
  <si>
    <t>Depreciation Rate</t>
  </si>
  <si>
    <t>Percent used up</t>
  </si>
  <si>
    <t>Average Useful Life</t>
  </si>
  <si>
    <t>Table 4.e</t>
  </si>
  <si>
    <t xml:space="preserve">FIRST LEVEL BREAK DOWN </t>
  </si>
  <si>
    <t xml:space="preserve">SECOND LEVEL BREAK DOWN </t>
  </si>
  <si>
    <t>Table 5.e</t>
  </si>
  <si>
    <t>Table 6.e</t>
  </si>
  <si>
    <t>Table 7.e</t>
  </si>
  <si>
    <t>Table 2.e</t>
  </si>
  <si>
    <t>Table 3.e</t>
  </si>
  <si>
    <t>Net income</t>
  </si>
  <si>
    <t>Depreciation and amortization</t>
  </si>
  <si>
    <t>Changes in working capital</t>
  </si>
  <si>
    <t>Change in trade receivables</t>
  </si>
  <si>
    <t>Change in inventories</t>
  </si>
  <si>
    <t>Change in other current assets</t>
  </si>
  <si>
    <t>Change in trade payables</t>
  </si>
  <si>
    <t>change in current tax</t>
  </si>
  <si>
    <t>Change in other current liabilities</t>
  </si>
  <si>
    <t>Cash flow from operating activities</t>
  </si>
  <si>
    <t>Purchase of PPE</t>
  </si>
  <si>
    <t>Purchase of other LT investments</t>
  </si>
  <si>
    <t>Other assets</t>
  </si>
  <si>
    <t>Cash flow from investing activities</t>
  </si>
  <si>
    <t>Increase in long term liabilities</t>
  </si>
  <si>
    <t>Change in current liabilities for banks and loans</t>
  </si>
  <si>
    <t>Decrease in other long term liabilities</t>
  </si>
  <si>
    <t>Proceeds from share issuance</t>
  </si>
  <si>
    <t>Cash flow from financing activities</t>
  </si>
  <si>
    <t>Net change in cash actual</t>
  </si>
  <si>
    <t>Net change in cash computed</t>
  </si>
  <si>
    <t>Adjustment for cash flow recoinciliation</t>
  </si>
  <si>
    <t>Adjusted net change in cash computed</t>
  </si>
  <si>
    <t>Beginning</t>
  </si>
  <si>
    <t>Ending computed</t>
  </si>
  <si>
    <t>Ending actual</t>
  </si>
  <si>
    <t>Luis Trenker</t>
  </si>
  <si>
    <t>Additional Information for Credit Risk Analysis and Beneish score</t>
  </si>
  <si>
    <t>Cash and Cash equivalents</t>
  </si>
  <si>
    <t>Marketable Securities</t>
  </si>
  <si>
    <t>Net Receivables</t>
  </si>
  <si>
    <t>Current Assets</t>
  </si>
  <si>
    <t>Total Assets</t>
  </si>
  <si>
    <t>Average Total Assets</t>
  </si>
  <si>
    <t>Current Liabilities</t>
  </si>
  <si>
    <t>Total Liabilities</t>
  </si>
  <si>
    <t>Average Total Liabilities</t>
  </si>
  <si>
    <t>Working Capital</t>
  </si>
  <si>
    <t>SG&amp;A</t>
  </si>
  <si>
    <t>EV/EBITDA</t>
  </si>
  <si>
    <t>EBITDA</t>
  </si>
  <si>
    <t>EBITDA (EBIT + Depreciation &amp; Amortization from Cash Flow Statement)</t>
  </si>
  <si>
    <t>NET FINANCIAL OBLIGATIONS</t>
  </si>
  <si>
    <t>Net cash provided by operating activities</t>
  </si>
  <si>
    <t>MKT VALUE = (EV/ebitda*EBITDA) - NFO</t>
  </si>
  <si>
    <t>Market Value of Equity</t>
  </si>
  <si>
    <t>Solvency</t>
  </si>
  <si>
    <t>Total Debt to Total assets</t>
  </si>
  <si>
    <t>Total Debt to Equity</t>
  </si>
  <si>
    <t>Weight of Financial Expenses on Revenues</t>
  </si>
  <si>
    <t>Financial Expenses</t>
  </si>
  <si>
    <t>Financial Expenses Coverage</t>
  </si>
  <si>
    <t>Liquidity</t>
  </si>
  <si>
    <t>Current Ratio</t>
  </si>
  <si>
    <t>Quick (Acid Test) Ratio</t>
  </si>
  <si>
    <t>(Cash &amp; Cash and Equ.+Mark. Sec.+Net Receivables)</t>
  </si>
  <si>
    <t>Operating Cash Flow to Current Liabilities</t>
  </si>
  <si>
    <t>Operating Cash Flow</t>
  </si>
  <si>
    <t>Risk Factors</t>
  </si>
  <si>
    <t>Altman Z-Score</t>
  </si>
  <si>
    <t>X1 = (Working Capital / Total Assets)</t>
  </si>
  <si>
    <t>X2 = (Retained Earnings / Total Assets)</t>
  </si>
  <si>
    <t>X3 = (Earnings Before Interest and Taxes / Total Assets)</t>
  </si>
  <si>
    <t>X4 = (Market Value of Equity / Book Value of Total Liabilities)</t>
  </si>
  <si>
    <t>X5 = (Sales/ Total Assets)</t>
  </si>
  <si>
    <t>1.2 X1 + 1.4 X2+ 3.3 X3 + 0.6 X4 + 0.999 X5</t>
  </si>
  <si>
    <t>Bankruptcy Probability</t>
  </si>
  <si>
    <t>Interpretation</t>
  </si>
  <si>
    <t>Company is healthy and there is low bankruptcy potential in the short term</t>
  </si>
  <si>
    <t>Z-score &gt;3.00</t>
  </si>
  <si>
    <t>Gray area—company is exposed to some risk of bankruptcy; caution is advised</t>
  </si>
  <si>
    <t>2.99 &gt; Z-score &gt; 1.80</t>
  </si>
  <si>
    <t>Company is in financial distress and there is high bankruptcy potential in short term</t>
  </si>
  <si>
    <t>1.80 &gt; Z-score</t>
  </si>
  <si>
    <t>EARNINGS MANIPULATION PREDICTORS (BENEISH INDEX)</t>
  </si>
  <si>
    <t>DSRI</t>
  </si>
  <si>
    <t>Days Sales in Receivables Index</t>
  </si>
  <si>
    <t>GMI</t>
  </si>
  <si>
    <t>Gross Margin Index</t>
  </si>
  <si>
    <t>AQI</t>
  </si>
  <si>
    <t>Asset Quality Index</t>
  </si>
  <si>
    <t>SGI</t>
  </si>
  <si>
    <t>Sales Growth Index</t>
  </si>
  <si>
    <t>DEPI</t>
  </si>
  <si>
    <t>Depreciation Index</t>
  </si>
  <si>
    <t>SGAI</t>
  </si>
  <si>
    <t>Sales, General and Administrative Expenses Index</t>
  </si>
  <si>
    <t>LVGI</t>
  </si>
  <si>
    <t>Leverage Index</t>
  </si>
  <si>
    <t>TATA</t>
  </si>
  <si>
    <t>Total Accruals to Total Assets</t>
  </si>
  <si>
    <t>constant</t>
  </si>
  <si>
    <t>if M &gt; -2.22, firm is likely to be a manipulator</t>
  </si>
  <si>
    <t>Probability of manipulation</t>
  </si>
  <si>
    <t>Company is likely to be a manipulator</t>
  </si>
  <si>
    <t>M &gt; -2.22</t>
  </si>
  <si>
    <t>Company is NOT likely to be a manipulator</t>
  </si>
  <si>
    <t>M&lt; -2.22</t>
  </si>
  <si>
    <t>Additional data</t>
  </si>
  <si>
    <t>Luis Trenker S.p.a</t>
  </si>
  <si>
    <t>Table 8.e</t>
  </si>
  <si>
    <t>Table 9.e</t>
  </si>
  <si>
    <r>
      <rPr>
        <sz val="8"/>
        <color rgb="FF333333"/>
        <rFont val="Verdana"/>
      </rPr>
      <t xml:space="preserve"> The companies/individuals underlined and displayed in bold blue are available on</t>
    </r>
    <r>
      <rPr>
        <b/>
        <u/>
        <sz val="8"/>
        <color rgb="FF003366"/>
        <rFont val="Verdana"/>
      </rPr>
      <t>AIDA/CONTACTS</t>
    </r>
  </si>
  <si>
    <r>
      <rPr>
        <b/>
        <sz val="8"/>
        <color rgb="FF003366"/>
        <rFont val="Verdana"/>
      </rPr>
      <t>Current filter:</t>
    </r>
    <r>
      <rPr>
        <sz val="8"/>
        <color rgb="FF333333"/>
        <rFont val="Verdana"/>
      </rPr>
      <t>No filter</t>
    </r>
  </si>
  <si>
    <r>
      <rPr>
        <sz val="8"/>
        <color rgb="FF333333"/>
        <rFont val="Verdana"/>
      </rPr>
      <t xml:space="preserve"> The companies underlined and displayed in bold grey are available on other</t>
    </r>
    <r>
      <rPr>
        <b/>
        <u/>
        <sz val="8"/>
        <color rgb="FF858585"/>
        <rFont val="Verdana"/>
      </rPr>
      <t>BvD Databases</t>
    </r>
    <r>
      <rPr>
        <sz val="8"/>
        <color rgb="FF333333"/>
        <rFont val="Verdana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</si>
</sst>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64" formatCode="###,##0"/>
    <numFmt numFmtId="165" formatCode="d/m/yyyy"/>
    <numFmt numFmtId="166" formatCode="mm/yyyy"/>
    <numFmt numFmtId="167" formatCode="[$€-2]\ #,##0.00"/>
    <numFmt numFmtId="168" formatCode="#,##0.00,,"/>
    <numFmt numFmtId="169" formatCode="0.0,,&quot; M&quot;"/>
    <numFmt numFmtId="170" formatCode="0.0%"/>
    <numFmt numFmtId="171" formatCode="#,##0.0000,,"/>
    <numFmt numFmtId="172" formatCode="_-* #,##0_-;\-* #,##0_-;_-* &quot;-&quot;??_-;_-@_-"/>
    <numFmt numFmtId="173" formatCode="_(* #,##0_);_(* \(#,##0\);_(* &quot;-&quot;??_);_(@_)"/>
    <numFmt numFmtId="174" formatCode="0.0000%"/>
    <numFmt numFmtId="175" formatCode="0.000"/>
  </numFmts>
  <fonts count="9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3366"/>
      <name val="Verdana"/>
      <family val="2"/>
    </font>
    <font>
      <sz val="10"/>
      <name val="Arial"/>
      <family val="2"/>
    </font>
    <font>
      <sz val="8"/>
      <color rgb="FF333333"/>
      <name val="Verdana"/>
      <family val="2"/>
    </font>
    <font>
      <b/>
      <sz val="8"/>
      <color rgb="FF003366"/>
      <name val="Verdana"/>
      <family val="2"/>
    </font>
    <font>
      <b/>
      <sz val="8"/>
      <color rgb="FF333333"/>
      <name val="Verdana"/>
      <family val="2"/>
    </font>
    <font>
      <u/>
      <sz val="8"/>
      <color rgb="FF333333"/>
      <name val="Verdana"/>
      <family val="2"/>
    </font>
    <font>
      <i/>
      <sz val="8"/>
      <color rgb="FF333333"/>
      <name val="Verdana"/>
      <family val="2"/>
    </font>
    <font>
      <sz val="8"/>
      <color rgb="FF003366"/>
      <name val="Verdana"/>
      <family val="2"/>
    </font>
    <font>
      <sz val="8"/>
      <color rgb="FF000000"/>
      <name val="Verdana"/>
      <family val="2"/>
    </font>
    <font>
      <sz val="8"/>
      <color rgb="FF6390C9"/>
      <name val="Verdana"/>
      <family val="2"/>
    </font>
    <font>
      <b/>
      <u/>
      <sz val="8"/>
      <color rgb="FF003366"/>
      <name val="Verdana"/>
      <family val="2"/>
    </font>
    <font>
      <b/>
      <u/>
      <sz val="8"/>
      <color rgb="FF003366"/>
      <name val="Verdana"/>
      <family val="2"/>
    </font>
    <font>
      <b/>
      <sz val="8"/>
      <color rgb="FFFFFFFF"/>
      <name val="Verdana"/>
      <family val="2"/>
    </font>
    <font>
      <b/>
      <u/>
      <sz val="8"/>
      <color rgb="FF858585"/>
      <name val="Verdana"/>
      <family val="2"/>
    </font>
    <font>
      <b/>
      <sz val="8"/>
      <color rgb="FF333333"/>
      <name val="Noto Sans Symbols"/>
    </font>
    <font>
      <b/>
      <u/>
      <sz val="8"/>
      <color rgb="FF858585"/>
      <name val="Verdana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rgb="FFFFFFFF"/>
      <name val="Calibri"/>
      <family val="2"/>
    </font>
    <font>
      <b/>
      <sz val="9"/>
      <color rgb="FF333333"/>
      <name val="Verdana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333333"/>
      <name val="Calibri"/>
      <family val="2"/>
    </font>
    <font>
      <sz val="10"/>
      <color rgb="FF000000"/>
      <name val="Calibri"/>
      <family val="2"/>
    </font>
    <font>
      <b/>
      <sz val="10"/>
      <color rgb="FF333333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0"/>
      <name val="Calibri"/>
      <family val="2"/>
    </font>
    <font>
      <strike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i/>
      <sz val="11"/>
      <color rgb="FF000000"/>
      <name val="Calibri"/>
      <family val="2"/>
    </font>
    <font>
      <b/>
      <sz val="12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sz val="14"/>
      <color rgb="FF000000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i/>
      <sz val="10"/>
      <color rgb="FF000000"/>
      <name val="Calibri"/>
      <family val="2"/>
    </font>
    <font>
      <sz val="12"/>
      <color theme="0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theme="1"/>
      <name val="Arial"/>
      <family val="2"/>
      <scheme val="minor"/>
    </font>
    <font>
      <b/>
      <sz val="13"/>
      <color theme="0"/>
      <name val="Calibri"/>
      <family val="2"/>
    </font>
    <font>
      <b/>
      <sz val="12"/>
      <color indexed="8"/>
      <name val="Calibri"/>
      <family val="2"/>
    </font>
    <font>
      <sz val="10"/>
      <color rgb="FF000000"/>
      <name val="Arial"/>
      <scheme val="minor"/>
    </font>
    <font>
      <b/>
      <i/>
      <sz val="12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rgb="FF333333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b/>
      <sz val="13"/>
      <color rgb="FFFFFFFF"/>
      <name val="Calibri"/>
    </font>
    <font>
      <sz val="10"/>
      <name val="Arial"/>
    </font>
    <font>
      <b/>
      <sz val="11"/>
      <color rgb="FFFFFFFF"/>
      <name val="Calibri"/>
    </font>
    <font>
      <b/>
      <sz val="11"/>
      <color rgb="FFFFFFFF"/>
      <name val="Arial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Arial"/>
    </font>
    <font>
      <b/>
      <sz val="10"/>
      <color rgb="FF000000"/>
      <name val="Calibri"/>
    </font>
    <font>
      <i/>
      <sz val="10"/>
      <color rgb="FF000000"/>
      <name val="Calibri"/>
    </font>
    <font>
      <sz val="10"/>
      <color theme="1"/>
      <name val="Arial"/>
    </font>
    <font>
      <b/>
      <i/>
      <sz val="10"/>
      <color rgb="FF000000"/>
      <name val="Calibri"/>
    </font>
    <font>
      <sz val="11"/>
      <name val="Arial"/>
      <family val="2"/>
    </font>
    <font>
      <sz val="11"/>
      <color rgb="FF000000"/>
      <name val="Arial"/>
      <family val="2"/>
      <scheme val="minor"/>
    </font>
    <font>
      <b/>
      <sz val="10"/>
      <color indexed="8"/>
      <name val="Calibri"/>
      <family val="2"/>
    </font>
    <font>
      <sz val="11"/>
      <color theme="1"/>
      <name val="Calibri Light"/>
      <family val="2"/>
    </font>
    <font>
      <b/>
      <sz val="10"/>
      <color indexed="8"/>
      <name val="Calibri "/>
    </font>
    <font>
      <sz val="10"/>
      <color indexed="8"/>
      <name val="Calibri "/>
    </font>
    <font>
      <b/>
      <sz val="10"/>
      <color theme="0"/>
      <name val="Calibri "/>
    </font>
    <font>
      <b/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Calibri "/>
    </font>
    <font>
      <sz val="11"/>
      <color theme="1"/>
      <name val="Arial"/>
      <family val="2"/>
    </font>
    <font>
      <b/>
      <i/>
      <sz val="10"/>
      <color rgb="FF000000"/>
      <name val="Calibri"/>
      <family val="2"/>
    </font>
    <font>
      <b/>
      <sz val="10"/>
      <color rgb="FF003366"/>
      <name val="Verdana"/>
    </font>
    <font>
      <sz val="8"/>
      <color rgb="FF333333"/>
      <name val="Verdana"/>
    </font>
    <font>
      <b/>
      <sz val="8"/>
      <color rgb="FF003366"/>
      <name val="Verdana"/>
    </font>
    <font>
      <b/>
      <sz val="8"/>
      <color rgb="FF333333"/>
      <name val="Verdana"/>
    </font>
    <font>
      <u/>
      <sz val="8"/>
      <color rgb="FF333333"/>
      <name val="Verdana"/>
    </font>
    <font>
      <i/>
      <sz val="8"/>
      <color rgb="FF333333"/>
      <name val="Verdana"/>
    </font>
    <font>
      <sz val="8"/>
      <color rgb="FF003366"/>
      <name val="Verdana"/>
    </font>
    <font>
      <sz val="8"/>
      <color rgb="FF000000"/>
      <name val="Verdana"/>
    </font>
    <font>
      <sz val="8"/>
      <color rgb="FF6390C9"/>
      <name val="Verdana"/>
    </font>
    <font>
      <b/>
      <u/>
      <sz val="8"/>
      <color rgb="FF003366"/>
      <name val="Verdana"/>
    </font>
    <font>
      <b/>
      <u/>
      <sz val="8"/>
      <color rgb="FF858585"/>
      <name val="Verdana"/>
    </font>
    <font>
      <b/>
      <sz val="8"/>
      <color rgb="FFFFFFFF"/>
      <name val="Verdana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2CBEA"/>
        <bgColor rgb="FFB2CBEA"/>
      </patternFill>
    </fill>
    <fill>
      <patternFill patternType="solid">
        <fgColor rgb="FFD1D6DC"/>
        <bgColor rgb="FFD1D6DC"/>
      </patternFill>
    </fill>
    <fill>
      <patternFill patternType="solid">
        <fgColor rgb="FFF2F2F2"/>
        <bgColor rgb="FFF2F2F2"/>
      </patternFill>
    </fill>
    <fill>
      <patternFill patternType="solid">
        <fgColor rgb="FF96A3B5"/>
        <bgColor rgb="FF96A3B5"/>
      </patternFill>
    </fill>
    <fill>
      <patternFill patternType="solid">
        <fgColor rgb="FFFAD2A4"/>
        <bgColor rgb="FFFAD2A4"/>
      </patternFill>
    </fill>
    <fill>
      <patternFill patternType="solid">
        <fgColor rgb="FF858585"/>
        <bgColor rgb="FF858585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E1D5EF"/>
        <bgColor rgb="FFE1D5EF"/>
      </patternFill>
    </fill>
    <fill>
      <patternFill patternType="solid">
        <fgColor rgb="FFE9DCF8"/>
        <bgColor rgb="FFE9DCF8"/>
      </patternFill>
    </fill>
    <fill>
      <patternFill patternType="solid">
        <fgColor rgb="FFE5D8F4"/>
        <bgColor rgb="FFE5D8F4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CB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99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rgb="FF548235"/>
      </patternFill>
    </fill>
  </fills>
  <borders count="68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38090"/>
      </left>
      <right/>
      <top/>
      <bottom/>
      <diagonal/>
    </border>
    <border>
      <left/>
      <right style="thin">
        <color rgb="FF738090"/>
      </right>
      <top/>
      <bottom/>
      <diagonal/>
    </border>
    <border>
      <left style="thin">
        <color rgb="FF738090"/>
      </left>
      <right/>
      <top/>
      <bottom/>
      <diagonal/>
    </border>
    <border>
      <left style="thin">
        <color rgb="FFFFFFFF"/>
      </left>
      <right style="thin">
        <color rgb="FF738090"/>
      </right>
      <top/>
      <bottom/>
      <diagonal/>
    </border>
    <border>
      <left style="thin">
        <color rgb="FF738090"/>
      </left>
      <right/>
      <top/>
      <bottom style="thin">
        <color rgb="FF738090"/>
      </bottom>
      <diagonal/>
    </border>
    <border>
      <left/>
      <right/>
      <top/>
      <bottom style="thin">
        <color rgb="FF738090"/>
      </bottom>
      <diagonal/>
    </border>
    <border>
      <left/>
      <right style="thin">
        <color rgb="FF738090"/>
      </right>
      <top/>
      <bottom style="thin">
        <color rgb="FF738090"/>
      </bottom>
      <diagonal/>
    </border>
    <border>
      <left style="thin">
        <color rgb="FFFFFFFF"/>
      </left>
      <right/>
      <top style="thin">
        <color rgb="FF858585"/>
      </top>
      <bottom style="thin">
        <color rgb="FF858585"/>
      </bottom>
      <diagonal/>
    </border>
    <border>
      <left/>
      <right/>
      <top style="thin">
        <color rgb="FF858585"/>
      </top>
      <bottom style="thin">
        <color rgb="FF858585"/>
      </bottom>
      <diagonal/>
    </border>
    <border>
      <left/>
      <right/>
      <top style="thin">
        <color rgb="FF858585"/>
      </top>
      <bottom style="thin">
        <color rgb="FF858585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D1D6DC"/>
      </bottom>
      <diagonal/>
    </border>
    <border>
      <left/>
      <right/>
      <top/>
      <bottom style="thin">
        <color rgb="FFD1D6D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858585"/>
      </top>
      <bottom style="thin">
        <color rgb="FF85858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D1D6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2">
    <xf numFmtId="0" fontId="0" fillId="0" borderId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31"/>
    <xf numFmtId="43" fontId="2" fillId="0" borderId="31" applyFont="0" applyFill="0" applyBorder="0" applyAlignment="0" applyProtection="0"/>
    <xf numFmtId="0" fontId="5" fillId="0" borderId="31"/>
    <xf numFmtId="9" fontId="2" fillId="0" borderId="31" applyFont="0" applyFill="0" applyBorder="0" applyAlignment="0" applyProtection="0"/>
    <xf numFmtId="0" fontId="5" fillId="0" borderId="31" applyNumberFormat="0" applyFont="0" applyFill="0" applyBorder="0" applyAlignment="0" applyProtection="0"/>
    <xf numFmtId="9" fontId="53" fillId="0" borderId="31" applyFont="0" applyFill="0" applyBorder="0" applyAlignment="0" applyProtection="0"/>
    <xf numFmtId="0" fontId="56" fillId="0" borderId="31"/>
    <xf numFmtId="0" fontId="1" fillId="0" borderId="31"/>
    <xf numFmtId="43" fontId="1" fillId="0" borderId="31" applyFont="0" applyFill="0" applyBorder="0" applyAlignment="0" applyProtection="0"/>
  </cellStyleXfs>
  <cellXfs count="690">
    <xf numFmtId="0" fontId="0" fillId="0" borderId="0" xfId="0"/>
    <xf numFmtId="0" fontId="3" fillId="2" borderId="1" xfId="0" applyFont="1" applyFill="1" applyBorder="1"/>
    <xf numFmtId="0" fontId="3" fillId="2" borderId="5" xfId="0" applyFont="1" applyFill="1" applyBorder="1"/>
    <xf numFmtId="0" fontId="6" fillId="2" borderId="8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3" fillId="2" borderId="8" xfId="0" applyFont="1" applyFill="1" applyBorder="1"/>
    <xf numFmtId="0" fontId="6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/>
    </xf>
    <xf numFmtId="165" fontId="6" fillId="2" borderId="1" xfId="0" applyNumberFormat="1" applyFont="1" applyFill="1" applyBorder="1" applyAlignment="1">
      <alignment horizontal="left" vertical="top"/>
    </xf>
    <xf numFmtId="3" fontId="6" fillId="2" borderId="1" xfId="0" applyNumberFormat="1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 wrapText="1"/>
    </xf>
    <xf numFmtId="0" fontId="3" fillId="5" borderId="24" xfId="0" applyFont="1" applyFill="1" applyBorder="1"/>
    <xf numFmtId="0" fontId="11" fillId="5" borderId="25" xfId="0" applyFont="1" applyFill="1" applyBorder="1" applyAlignment="1">
      <alignment horizontal="left" vertical="top" wrapText="1"/>
    </xf>
    <xf numFmtId="0" fontId="12" fillId="5" borderId="25" xfId="0" applyFont="1" applyFill="1" applyBorder="1" applyAlignment="1">
      <alignment horizontal="right" vertical="top" wrapText="1"/>
    </xf>
    <xf numFmtId="0" fontId="3" fillId="2" borderId="24" xfId="0" applyFont="1" applyFill="1" applyBorder="1"/>
    <xf numFmtId="0" fontId="3" fillId="2" borderId="25" xfId="0" applyFont="1" applyFill="1" applyBorder="1"/>
    <xf numFmtId="0" fontId="6" fillId="2" borderId="25" xfId="0" applyFont="1" applyFill="1" applyBorder="1" applyAlignment="1">
      <alignment horizontal="right" vertical="top" wrapText="1"/>
    </xf>
    <xf numFmtId="0" fontId="12" fillId="2" borderId="25" xfId="0" applyFont="1" applyFill="1" applyBorder="1" applyAlignment="1">
      <alignment horizontal="left" vertical="top" wrapText="1"/>
    </xf>
    <xf numFmtId="164" fontId="6" fillId="2" borderId="25" xfId="0" applyNumberFormat="1" applyFont="1" applyFill="1" applyBorder="1" applyAlignment="1">
      <alignment horizontal="right" vertical="top"/>
    </xf>
    <xf numFmtId="4" fontId="6" fillId="2" borderId="25" xfId="0" applyNumberFormat="1" applyFont="1" applyFill="1" applyBorder="1" applyAlignment="1">
      <alignment horizontal="right" vertical="top"/>
    </xf>
    <xf numFmtId="3" fontId="6" fillId="2" borderId="25" xfId="0" applyNumberFormat="1" applyFont="1" applyFill="1" applyBorder="1" applyAlignment="1">
      <alignment horizontal="right" vertical="top"/>
    </xf>
    <xf numFmtId="0" fontId="3" fillId="4" borderId="24" xfId="0" applyFont="1" applyFill="1" applyBorder="1"/>
    <xf numFmtId="0" fontId="8" fillId="4" borderId="25" xfId="0" applyFont="1" applyFill="1" applyBorder="1" applyAlignment="1">
      <alignment horizontal="left" vertical="top" wrapText="1"/>
    </xf>
    <xf numFmtId="0" fontId="3" fillId="4" borderId="25" xfId="0" applyFont="1" applyFill="1" applyBorder="1"/>
    <xf numFmtId="0" fontId="10" fillId="2" borderId="25" xfId="0" applyFont="1" applyFill="1" applyBorder="1" applyAlignment="1">
      <alignment horizontal="left" vertical="top" wrapText="1"/>
    </xf>
    <xf numFmtId="164" fontId="10" fillId="2" borderId="25" xfId="0" applyNumberFormat="1" applyFont="1" applyFill="1" applyBorder="1" applyAlignment="1">
      <alignment horizontal="right" vertical="top"/>
    </xf>
    <xf numFmtId="0" fontId="10" fillId="2" borderId="25" xfId="0" applyFont="1" applyFill="1" applyBorder="1" applyAlignment="1">
      <alignment horizontal="right" vertical="top" wrapText="1"/>
    </xf>
    <xf numFmtId="0" fontId="8" fillId="5" borderId="25" xfId="0" applyFont="1" applyFill="1" applyBorder="1" applyAlignment="1">
      <alignment horizontal="left" vertical="top" wrapText="1"/>
    </xf>
    <xf numFmtId="0" fontId="3" fillId="5" borderId="25" xfId="0" applyFont="1" applyFill="1" applyBorder="1"/>
    <xf numFmtId="0" fontId="10" fillId="2" borderId="1" xfId="0" applyFont="1" applyFill="1" applyBorder="1" applyAlignment="1">
      <alignment horizontal="left" vertical="top" wrapText="1"/>
    </xf>
    <xf numFmtId="0" fontId="3" fillId="5" borderId="5" xfId="0" applyFont="1" applyFill="1" applyBorder="1"/>
    <xf numFmtId="0" fontId="7" fillId="5" borderId="5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/>
    <xf numFmtId="0" fontId="3" fillId="6" borderId="1" xfId="0" applyFont="1" applyFill="1" applyBorder="1"/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right" vertical="top" wrapText="1"/>
    </xf>
    <xf numFmtId="166" fontId="6" fillId="2" borderId="1" xfId="0" applyNumberFormat="1" applyFont="1" applyFill="1" applyBorder="1" applyAlignment="1">
      <alignment horizontal="center" vertical="top"/>
    </xf>
    <xf numFmtId="0" fontId="1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/>
    <xf numFmtId="164" fontId="6" fillId="7" borderId="1" xfId="0" applyNumberFormat="1" applyFont="1" applyFill="1" applyBorder="1" applyAlignment="1">
      <alignment horizontal="right" vertical="top"/>
    </xf>
    <xf numFmtId="0" fontId="16" fillId="6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right" vertical="center" wrapText="1"/>
    </xf>
    <xf numFmtId="0" fontId="17" fillId="2" borderId="1" xfId="0" applyFont="1" applyFill="1" applyBorder="1" applyAlignment="1">
      <alignment horizontal="left" vertical="top" wrapText="1"/>
    </xf>
    <xf numFmtId="3" fontId="6" fillId="2" borderId="1" xfId="0" applyNumberFormat="1" applyFont="1" applyFill="1" applyBorder="1" applyAlignment="1">
      <alignment horizontal="center" vertical="top"/>
    </xf>
    <xf numFmtId="0" fontId="18" fillId="2" borderId="1" xfId="0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right" vertical="top"/>
    </xf>
    <xf numFmtId="0" fontId="19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right" vertical="top" wrapText="1"/>
    </xf>
    <xf numFmtId="3" fontId="6" fillId="5" borderId="1" xfId="0" applyNumberFormat="1" applyFont="1" applyFill="1" applyBorder="1" applyAlignment="1">
      <alignment horizontal="center" vertical="top"/>
    </xf>
    <xf numFmtId="166" fontId="6" fillId="5" borderId="1" xfId="0" applyNumberFormat="1" applyFont="1" applyFill="1" applyBorder="1" applyAlignment="1">
      <alignment horizontal="center" vertical="top"/>
    </xf>
    <xf numFmtId="0" fontId="18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 wrapText="1"/>
    </xf>
    <xf numFmtId="0" fontId="7" fillId="3" borderId="32" xfId="0" applyFont="1" applyFill="1" applyBorder="1" applyAlignment="1">
      <alignment horizontal="left" vertical="top"/>
    </xf>
    <xf numFmtId="0" fontId="20" fillId="0" borderId="0" xfId="0" applyFont="1"/>
    <xf numFmtId="167" fontId="21" fillId="0" borderId="0" xfId="0" applyNumberFormat="1" applyFont="1"/>
    <xf numFmtId="0" fontId="21" fillId="0" borderId="0" xfId="0" applyFont="1"/>
    <xf numFmtId="0" fontId="24" fillId="9" borderId="33" xfId="0" applyFont="1" applyFill="1" applyBorder="1" applyAlignment="1">
      <alignment horizontal="center" vertical="center"/>
    </xf>
    <xf numFmtId="0" fontId="32" fillId="0" borderId="0" xfId="0" applyFont="1"/>
    <xf numFmtId="0" fontId="23" fillId="9" borderId="33" xfId="0" applyFont="1" applyFill="1" applyBorder="1" applyAlignment="1">
      <alignment horizontal="center" vertical="center"/>
    </xf>
    <xf numFmtId="10" fontId="3" fillId="5" borderId="33" xfId="0" applyNumberFormat="1" applyFont="1" applyFill="1" applyBorder="1" applyAlignment="1">
      <alignment horizontal="center" vertical="center"/>
    </xf>
    <xf numFmtId="10" fontId="34" fillId="12" borderId="33" xfId="0" applyNumberFormat="1" applyFont="1" applyFill="1" applyBorder="1" applyAlignment="1">
      <alignment horizontal="center" vertical="center"/>
    </xf>
    <xf numFmtId="1" fontId="32" fillId="0" borderId="0" xfId="0" applyNumberFormat="1" applyFont="1"/>
    <xf numFmtId="10" fontId="32" fillId="0" borderId="0" xfId="0" applyNumberFormat="1" applyFont="1"/>
    <xf numFmtId="0" fontId="37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170" fontId="33" fillId="15" borderId="5" xfId="0" applyNumberFormat="1" applyFont="1" applyFill="1" applyBorder="1" applyAlignment="1">
      <alignment horizontal="right"/>
    </xf>
    <xf numFmtId="1" fontId="32" fillId="0" borderId="0" xfId="0" applyNumberFormat="1" applyFont="1" applyAlignment="1">
      <alignment horizontal="right"/>
    </xf>
    <xf numFmtId="0" fontId="12" fillId="0" borderId="25" xfId="0" applyFont="1" applyBorder="1" applyAlignment="1">
      <alignment horizontal="left" vertical="top" wrapText="1"/>
    </xf>
    <xf numFmtId="0" fontId="3" fillId="0" borderId="25" xfId="0" applyFont="1" applyBorder="1"/>
    <xf numFmtId="4" fontId="3" fillId="2" borderId="25" xfId="0" applyNumberFormat="1" applyFont="1" applyFill="1" applyBorder="1"/>
    <xf numFmtId="0" fontId="12" fillId="0" borderId="35" xfId="0" applyFont="1" applyBorder="1" applyAlignment="1">
      <alignment horizontal="left" vertical="top" wrapText="1"/>
    </xf>
    <xf numFmtId="4" fontId="6" fillId="2" borderId="25" xfId="0" applyNumberFormat="1" applyFont="1" applyFill="1" applyBorder="1" applyAlignment="1">
      <alignment horizontal="right" vertical="top" wrapText="1"/>
    </xf>
    <xf numFmtId="0" fontId="23" fillId="9" borderId="36" xfId="0" applyFont="1" applyFill="1" applyBorder="1" applyAlignment="1">
      <alignment vertical="center"/>
    </xf>
    <xf numFmtId="0" fontId="24" fillId="9" borderId="36" xfId="0" applyFont="1" applyFill="1" applyBorder="1" applyAlignment="1">
      <alignment horizontal="center" vertical="center"/>
    </xf>
    <xf numFmtId="0" fontId="23" fillId="9" borderId="40" xfId="0" applyFont="1" applyFill="1" applyBorder="1" applyAlignment="1">
      <alignment vertical="center"/>
    </xf>
    <xf numFmtId="0" fontId="24" fillId="9" borderId="41" xfId="0" applyFont="1" applyFill="1" applyBorder="1" applyAlignment="1">
      <alignment horizontal="center" vertical="center"/>
    </xf>
    <xf numFmtId="0" fontId="25" fillId="9" borderId="40" xfId="0" applyFont="1" applyFill="1" applyBorder="1" applyAlignment="1">
      <alignment vertical="center"/>
    </xf>
    <xf numFmtId="0" fontId="23" fillId="9" borderId="41" xfId="0" applyFont="1" applyFill="1" applyBorder="1" applyAlignment="1">
      <alignment vertical="center"/>
    </xf>
    <xf numFmtId="168" fontId="32" fillId="5" borderId="36" xfId="0" applyNumberFormat="1" applyFont="1" applyFill="1" applyBorder="1" applyAlignment="1">
      <alignment horizontal="right"/>
    </xf>
    <xf numFmtId="168" fontId="33" fillId="11" borderId="36" xfId="0" applyNumberFormat="1" applyFont="1" applyFill="1" applyBorder="1" applyAlignment="1">
      <alignment horizontal="right"/>
    </xf>
    <xf numFmtId="0" fontId="32" fillId="0" borderId="40" xfId="0" applyFont="1" applyBorder="1"/>
    <xf numFmtId="168" fontId="32" fillId="5" borderId="41" xfId="0" applyNumberFormat="1" applyFont="1" applyFill="1" applyBorder="1" applyAlignment="1">
      <alignment horizontal="right"/>
    </xf>
    <xf numFmtId="0" fontId="34" fillId="11" borderId="40" xfId="0" applyFont="1" applyFill="1" applyBorder="1" applyAlignment="1">
      <alignment horizontal="center" vertical="center"/>
    </xf>
    <xf numFmtId="168" fontId="33" fillId="11" borderId="41" xfId="0" applyNumberFormat="1" applyFont="1" applyFill="1" applyBorder="1" applyAlignment="1">
      <alignment horizontal="right"/>
    </xf>
    <xf numFmtId="0" fontId="34" fillId="11" borderId="42" xfId="0" applyFont="1" applyFill="1" applyBorder="1" applyAlignment="1">
      <alignment horizontal="center" vertical="center"/>
    </xf>
    <xf numFmtId="168" fontId="33" fillId="11" borderId="43" xfId="0" applyNumberFormat="1" applyFont="1" applyFill="1" applyBorder="1" applyAlignment="1">
      <alignment horizontal="right"/>
    </xf>
    <xf numFmtId="168" fontId="33" fillId="11" borderId="44" xfId="0" applyNumberFormat="1" applyFont="1" applyFill="1" applyBorder="1" applyAlignment="1">
      <alignment horizontal="right"/>
    </xf>
    <xf numFmtId="0" fontId="23" fillId="9" borderId="36" xfId="0" applyFont="1" applyFill="1" applyBorder="1" applyAlignment="1">
      <alignment horizontal="center" vertical="center"/>
    </xf>
    <xf numFmtId="0" fontId="23" fillId="9" borderId="40" xfId="0" applyFont="1" applyFill="1" applyBorder="1" applyAlignment="1">
      <alignment horizontal="center" vertical="center"/>
    </xf>
    <xf numFmtId="168" fontId="33" fillId="11" borderId="40" xfId="0" applyNumberFormat="1" applyFont="1" applyFill="1" applyBorder="1" applyAlignment="1">
      <alignment horizontal="center" vertical="center"/>
    </xf>
    <xf numFmtId="168" fontId="33" fillId="11" borderId="4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6" fillId="0" borderId="40" xfId="0" applyFont="1" applyBorder="1" applyAlignment="1">
      <alignment horizontal="left" vertical="center"/>
    </xf>
    <xf numFmtId="0" fontId="27" fillId="0" borderId="36" xfId="0" applyFont="1" applyBorder="1" applyAlignment="1">
      <alignment vertical="center"/>
    </xf>
    <xf numFmtId="0" fontId="26" fillId="0" borderId="36" xfId="0" applyFont="1" applyBorder="1" applyAlignment="1">
      <alignment horizontal="left" vertical="center"/>
    </xf>
    <xf numFmtId="0" fontId="21" fillId="0" borderId="41" xfId="0" applyFont="1" applyBorder="1" applyAlignment="1">
      <alignment vertical="center"/>
    </xf>
    <xf numFmtId="0" fontId="28" fillId="2" borderId="40" xfId="0" applyFont="1" applyFill="1" applyBorder="1" applyAlignment="1">
      <alignment horizontal="left" vertical="center"/>
    </xf>
    <xf numFmtId="4" fontId="29" fillId="10" borderId="36" xfId="0" applyNumberFormat="1" applyFont="1" applyFill="1" applyBorder="1" applyAlignment="1">
      <alignment horizontal="right" vertical="center"/>
    </xf>
    <xf numFmtId="0" fontId="29" fillId="10" borderId="36" xfId="0" applyFont="1" applyFill="1" applyBorder="1" applyAlignment="1">
      <alignment horizontal="right" vertical="center"/>
    </xf>
    <xf numFmtId="0" fontId="30" fillId="10" borderId="36" xfId="0" applyFont="1" applyFill="1" applyBorder="1" applyAlignment="1">
      <alignment horizontal="right" vertical="center"/>
    </xf>
    <xf numFmtId="0" fontId="30" fillId="10" borderId="41" xfId="0" applyFont="1" applyFill="1" applyBorder="1" applyAlignment="1">
      <alignment horizontal="right" vertical="center"/>
    </xf>
    <xf numFmtId="0" fontId="30" fillId="2" borderId="40" xfId="0" applyFont="1" applyFill="1" applyBorder="1" applyAlignment="1">
      <alignment horizontal="left" vertical="center"/>
    </xf>
    <xf numFmtId="168" fontId="29" fillId="10" borderId="36" xfId="0" applyNumberFormat="1" applyFont="1" applyFill="1" applyBorder="1" applyAlignment="1">
      <alignment horizontal="right" vertical="center"/>
    </xf>
    <xf numFmtId="168" fontId="29" fillId="10" borderId="41" xfId="0" applyNumberFormat="1" applyFont="1" applyFill="1" applyBorder="1" applyAlignment="1">
      <alignment horizontal="right" vertical="center"/>
    </xf>
    <xf numFmtId="0" fontId="30" fillId="2" borderId="40" xfId="0" applyFont="1" applyFill="1" applyBorder="1" applyAlignment="1">
      <alignment vertical="center"/>
    </xf>
    <xf numFmtId="0" fontId="28" fillId="11" borderId="40" xfId="0" applyFont="1" applyFill="1" applyBorder="1" applyAlignment="1">
      <alignment horizontal="left" vertical="center"/>
    </xf>
    <xf numFmtId="168" fontId="31" fillId="11" borderId="36" xfId="0" applyNumberFormat="1" applyFont="1" applyFill="1" applyBorder="1" applyAlignment="1">
      <alignment horizontal="right" vertical="center"/>
    </xf>
    <xf numFmtId="168" fontId="31" fillId="11" borderId="41" xfId="0" applyNumberFormat="1" applyFont="1" applyFill="1" applyBorder="1" applyAlignment="1">
      <alignment horizontal="right" vertical="center"/>
    </xf>
    <xf numFmtId="168" fontId="29" fillId="2" borderId="36" xfId="0" applyNumberFormat="1" applyFont="1" applyFill="1" applyBorder="1" applyAlignment="1">
      <alignment horizontal="right" vertical="center"/>
    </xf>
    <xf numFmtId="168" fontId="29" fillId="2" borderId="41" xfId="0" applyNumberFormat="1" applyFont="1" applyFill="1" applyBorder="1" applyAlignment="1">
      <alignment horizontal="right" vertical="center"/>
    </xf>
    <xf numFmtId="168" fontId="31" fillId="2" borderId="36" xfId="0" applyNumberFormat="1" applyFont="1" applyFill="1" applyBorder="1" applyAlignment="1">
      <alignment horizontal="right" vertical="center"/>
    </xf>
    <xf numFmtId="168" fontId="31" fillId="2" borderId="41" xfId="0" applyNumberFormat="1" applyFont="1" applyFill="1" applyBorder="1" applyAlignment="1">
      <alignment horizontal="right" vertical="center"/>
    </xf>
    <xf numFmtId="0" fontId="31" fillId="0" borderId="40" xfId="0" applyFont="1" applyBorder="1" applyAlignment="1">
      <alignment horizontal="left" vertical="center"/>
    </xf>
    <xf numFmtId="168" fontId="30" fillId="0" borderId="36" xfId="0" applyNumberFormat="1" applyFont="1" applyBorder="1" applyAlignment="1">
      <alignment vertical="center"/>
    </xf>
    <xf numFmtId="168" fontId="30" fillId="0" borderId="41" xfId="0" applyNumberFormat="1" applyFont="1" applyBorder="1" applyAlignment="1">
      <alignment vertical="center"/>
    </xf>
    <xf numFmtId="168" fontId="30" fillId="10" borderId="36" xfId="0" applyNumberFormat="1" applyFont="1" applyFill="1" applyBorder="1" applyAlignment="1">
      <alignment horizontal="right" vertical="center"/>
    </xf>
    <xf numFmtId="168" fontId="30" fillId="10" borderId="41" xfId="0" applyNumberFormat="1" applyFont="1" applyFill="1" applyBorder="1" applyAlignment="1">
      <alignment horizontal="right" vertical="center"/>
    </xf>
    <xf numFmtId="0" fontId="28" fillId="2" borderId="40" xfId="0" applyFont="1" applyFill="1" applyBorder="1" applyAlignment="1">
      <alignment vertical="center"/>
    </xf>
    <xf numFmtId="168" fontId="30" fillId="10" borderId="36" xfId="0" applyNumberFormat="1" applyFont="1" applyFill="1" applyBorder="1" applyAlignment="1">
      <alignment vertical="center"/>
    </xf>
    <xf numFmtId="168" fontId="30" fillId="10" borderId="41" xfId="0" applyNumberFormat="1" applyFont="1" applyFill="1" applyBorder="1" applyAlignment="1">
      <alignment vertical="center"/>
    </xf>
    <xf numFmtId="168" fontId="31" fillId="10" borderId="36" xfId="0" applyNumberFormat="1" applyFont="1" applyFill="1" applyBorder="1" applyAlignment="1">
      <alignment horizontal="right" vertical="center"/>
    </xf>
    <xf numFmtId="168" fontId="31" fillId="10" borderId="41" xfId="0" applyNumberFormat="1" applyFont="1" applyFill="1" applyBorder="1" applyAlignment="1">
      <alignment horizontal="right" vertical="center"/>
    </xf>
    <xf numFmtId="168" fontId="28" fillId="11" borderId="36" xfId="0" applyNumberFormat="1" applyFont="1" applyFill="1" applyBorder="1" applyAlignment="1">
      <alignment horizontal="right" vertical="center"/>
    </xf>
    <xf numFmtId="168" fontId="28" fillId="11" borderId="41" xfId="0" applyNumberFormat="1" applyFont="1" applyFill="1" applyBorder="1" applyAlignment="1">
      <alignment horizontal="right" vertical="center"/>
    </xf>
    <xf numFmtId="0" fontId="28" fillId="11" borderId="42" xfId="0" applyFont="1" applyFill="1" applyBorder="1" applyAlignment="1">
      <alignment horizontal="left" vertical="center"/>
    </xf>
    <xf numFmtId="168" fontId="31" fillId="11" borderId="43" xfId="0" applyNumberFormat="1" applyFont="1" applyFill="1" applyBorder="1" applyAlignment="1">
      <alignment horizontal="right" vertical="center"/>
    </xf>
    <xf numFmtId="168" fontId="31" fillId="11" borderId="44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vertical="center"/>
    </xf>
    <xf numFmtId="0" fontId="33" fillId="0" borderId="40" xfId="0" applyFont="1" applyBorder="1" applyAlignment="1">
      <alignment vertical="center"/>
    </xf>
    <xf numFmtId="0" fontId="32" fillId="0" borderId="36" xfId="0" applyFont="1" applyBorder="1" applyAlignment="1">
      <alignment vertical="center"/>
    </xf>
    <xf numFmtId="0" fontId="33" fillId="0" borderId="41" xfId="0" applyFont="1" applyBorder="1" applyAlignment="1">
      <alignment vertical="center"/>
    </xf>
    <xf numFmtId="169" fontId="32" fillId="0" borderId="0" xfId="0" applyNumberFormat="1" applyFont="1" applyAlignment="1">
      <alignment vertical="center"/>
    </xf>
    <xf numFmtId="0" fontId="32" fillId="0" borderId="40" xfId="0" applyFont="1" applyBorder="1" applyAlignment="1">
      <alignment vertical="center"/>
    </xf>
    <xf numFmtId="168" fontId="32" fillId="5" borderId="36" xfId="0" applyNumberFormat="1" applyFont="1" applyFill="1" applyBorder="1" applyAlignment="1">
      <alignment horizontal="right" vertical="center"/>
    </xf>
    <xf numFmtId="168" fontId="32" fillId="5" borderId="41" xfId="0" applyNumberFormat="1" applyFont="1" applyFill="1" applyBorder="1" applyAlignment="1">
      <alignment horizontal="right" vertical="center"/>
    </xf>
    <xf numFmtId="168" fontId="33" fillId="11" borderId="36" xfId="0" applyNumberFormat="1" applyFont="1" applyFill="1" applyBorder="1" applyAlignment="1">
      <alignment horizontal="right" vertical="center"/>
    </xf>
    <xf numFmtId="168" fontId="33" fillId="11" borderId="41" xfId="0" applyNumberFormat="1" applyFont="1" applyFill="1" applyBorder="1" applyAlignment="1">
      <alignment horizontal="right" vertical="center"/>
    </xf>
    <xf numFmtId="164" fontId="32" fillId="0" borderId="41" xfId="0" applyNumberFormat="1" applyFont="1" applyBorder="1" applyAlignment="1">
      <alignment vertical="center"/>
    </xf>
    <xf numFmtId="0" fontId="32" fillId="0" borderId="41" xfId="0" applyFont="1" applyBorder="1" applyAlignment="1">
      <alignment vertical="center"/>
    </xf>
    <xf numFmtId="168" fontId="32" fillId="0" borderId="36" xfId="0" applyNumberFormat="1" applyFont="1" applyBorder="1" applyAlignment="1">
      <alignment vertical="center"/>
    </xf>
    <xf numFmtId="168" fontId="32" fillId="0" borderId="41" xfId="0" applyNumberFormat="1" applyFont="1" applyBorder="1" applyAlignment="1">
      <alignment vertical="center"/>
    </xf>
    <xf numFmtId="168" fontId="20" fillId="5" borderId="36" xfId="0" applyNumberFormat="1" applyFont="1" applyFill="1" applyBorder="1" applyAlignment="1">
      <alignment vertical="center"/>
    </xf>
    <xf numFmtId="168" fontId="33" fillId="11" borderId="43" xfId="0" applyNumberFormat="1" applyFont="1" applyFill="1" applyBorder="1" applyAlignment="1">
      <alignment horizontal="right" vertical="center"/>
    </xf>
    <xf numFmtId="168" fontId="33" fillId="11" borderId="44" xfId="0" applyNumberFormat="1" applyFont="1" applyFill="1" applyBorder="1" applyAlignment="1">
      <alignment horizontal="right" vertical="center"/>
    </xf>
    <xf numFmtId="168" fontId="32" fillId="0" borderId="40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7" fontId="20" fillId="0" borderId="0" xfId="0" applyNumberFormat="1" applyFont="1" applyAlignment="1">
      <alignment vertical="center"/>
    </xf>
    <xf numFmtId="0" fontId="34" fillId="0" borderId="36" xfId="0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10" fontId="3" fillId="5" borderId="36" xfId="0" applyNumberFormat="1" applyFont="1" applyFill="1" applyBorder="1" applyAlignment="1">
      <alignment horizontal="center" vertical="center"/>
    </xf>
    <xf numFmtId="10" fontId="34" fillId="12" borderId="36" xfId="0" applyNumberFormat="1" applyFont="1" applyFill="1" applyBorder="1" applyAlignment="1">
      <alignment horizontal="center" vertical="center"/>
    </xf>
    <xf numFmtId="10" fontId="3" fillId="0" borderId="36" xfId="0" applyNumberFormat="1" applyFont="1" applyBorder="1" applyAlignment="1">
      <alignment horizontal="center" vertical="center"/>
    </xf>
    <xf numFmtId="0" fontId="23" fillId="9" borderId="41" xfId="0" applyFont="1" applyFill="1" applyBorder="1" applyAlignment="1">
      <alignment horizontal="center" vertical="center"/>
    </xf>
    <xf numFmtId="0" fontId="34" fillId="0" borderId="40" xfId="0" applyFont="1" applyBorder="1" applyAlignment="1">
      <alignment vertical="center"/>
    </xf>
    <xf numFmtId="0" fontId="34" fillId="0" borderId="41" xfId="0" applyFont="1" applyBorder="1" applyAlignment="1">
      <alignment vertical="center"/>
    </xf>
    <xf numFmtId="10" fontId="3" fillId="5" borderId="41" xfId="0" applyNumberFormat="1" applyFont="1" applyFill="1" applyBorder="1" applyAlignment="1">
      <alignment horizontal="center" vertical="center"/>
    </xf>
    <xf numFmtId="0" fontId="35" fillId="0" borderId="40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4" fillId="12" borderId="40" xfId="0" applyFont="1" applyFill="1" applyBorder="1" applyAlignment="1">
      <alignment horizontal="center" vertical="center"/>
    </xf>
    <xf numFmtId="10" fontId="34" fillId="12" borderId="41" xfId="0" applyNumberFormat="1" applyFont="1" applyFill="1" applyBorder="1" applyAlignment="1">
      <alignment horizontal="center" vertical="center"/>
    </xf>
    <xf numFmtId="1" fontId="34" fillId="12" borderId="40" xfId="0" applyNumberFormat="1" applyFont="1" applyFill="1" applyBorder="1" applyAlignment="1">
      <alignment horizontal="center" vertical="center"/>
    </xf>
    <xf numFmtId="1" fontId="34" fillId="12" borderId="42" xfId="0" applyNumberFormat="1" applyFont="1" applyFill="1" applyBorder="1" applyAlignment="1">
      <alignment horizontal="center" vertical="center"/>
    </xf>
    <xf numFmtId="10" fontId="34" fillId="12" borderId="43" xfId="0" applyNumberFormat="1" applyFont="1" applyFill="1" applyBorder="1" applyAlignment="1">
      <alignment horizontal="center" vertical="center"/>
    </xf>
    <xf numFmtId="10" fontId="34" fillId="12" borderId="44" xfId="0" applyNumberFormat="1" applyFont="1" applyFill="1" applyBorder="1" applyAlignment="1">
      <alignment horizontal="center" vertical="center"/>
    </xf>
    <xf numFmtId="10" fontId="34" fillId="13" borderId="36" xfId="0" applyNumberFormat="1" applyFont="1" applyFill="1" applyBorder="1" applyAlignment="1">
      <alignment horizontal="center" vertical="center"/>
    </xf>
    <xf numFmtId="1" fontId="34" fillId="13" borderId="40" xfId="0" applyNumberFormat="1" applyFont="1" applyFill="1" applyBorder="1" applyAlignment="1">
      <alignment horizontal="center" vertical="center"/>
    </xf>
    <xf numFmtId="10" fontId="34" fillId="13" borderId="41" xfId="0" applyNumberFormat="1" applyFont="1" applyFill="1" applyBorder="1" applyAlignment="1">
      <alignment horizontal="center" vertical="center"/>
    </xf>
    <xf numFmtId="1" fontId="34" fillId="13" borderId="42" xfId="0" applyNumberFormat="1" applyFont="1" applyFill="1" applyBorder="1" applyAlignment="1">
      <alignment horizontal="center" vertical="center"/>
    </xf>
    <xf numFmtId="10" fontId="34" fillId="13" borderId="43" xfId="0" applyNumberFormat="1" applyFont="1" applyFill="1" applyBorder="1" applyAlignment="1">
      <alignment horizontal="center" vertical="center"/>
    </xf>
    <xf numFmtId="10" fontId="34" fillId="13" borderId="44" xfId="0" applyNumberFormat="1" applyFont="1" applyFill="1" applyBorder="1" applyAlignment="1">
      <alignment horizontal="center" vertical="center"/>
    </xf>
    <xf numFmtId="10" fontId="34" fillId="13" borderId="33" xfId="0" applyNumberFormat="1" applyFont="1" applyFill="1" applyBorder="1" applyAlignment="1">
      <alignment horizontal="center" vertical="center"/>
    </xf>
    <xf numFmtId="10" fontId="34" fillId="13" borderId="34" xfId="0" applyNumberFormat="1" applyFont="1" applyFill="1" applyBorder="1" applyAlignment="1">
      <alignment horizontal="center" vertical="center"/>
    </xf>
    <xf numFmtId="0" fontId="24" fillId="9" borderId="40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0" fontId="3" fillId="0" borderId="33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168" fontId="32" fillId="0" borderId="36" xfId="0" applyNumberFormat="1" applyFont="1" applyBorder="1" applyAlignment="1">
      <alignment horizontal="right"/>
    </xf>
    <xf numFmtId="168" fontId="33" fillId="14" borderId="36" xfId="0" applyNumberFormat="1" applyFont="1" applyFill="1" applyBorder="1" applyAlignment="1">
      <alignment horizontal="right"/>
    </xf>
    <xf numFmtId="1" fontId="32" fillId="0" borderId="40" xfId="0" applyNumberFormat="1" applyFont="1" applyBorder="1"/>
    <xf numFmtId="168" fontId="32" fillId="0" borderId="41" xfId="0" applyNumberFormat="1" applyFont="1" applyBorder="1" applyAlignment="1">
      <alignment horizontal="right"/>
    </xf>
    <xf numFmtId="1" fontId="33" fillId="14" borderId="40" xfId="0" applyNumberFormat="1" applyFont="1" applyFill="1" applyBorder="1"/>
    <xf numFmtId="168" fontId="33" fillId="14" borderId="41" xfId="0" applyNumberFormat="1" applyFont="1" applyFill="1" applyBorder="1" applyAlignment="1">
      <alignment horizontal="right"/>
    </xf>
    <xf numFmtId="1" fontId="32" fillId="14" borderId="40" xfId="0" applyNumberFormat="1" applyFont="1" applyFill="1" applyBorder="1"/>
    <xf numFmtId="1" fontId="33" fillId="14" borderId="42" xfId="0" applyNumberFormat="1" applyFont="1" applyFill="1" applyBorder="1"/>
    <xf numFmtId="168" fontId="33" fillId="14" borderId="43" xfId="0" applyNumberFormat="1" applyFont="1" applyFill="1" applyBorder="1" applyAlignment="1">
      <alignment horizontal="right"/>
    </xf>
    <xf numFmtId="168" fontId="33" fillId="14" borderId="44" xfId="0" applyNumberFormat="1" applyFont="1" applyFill="1" applyBorder="1" applyAlignment="1">
      <alignment horizontal="right"/>
    </xf>
    <xf numFmtId="168" fontId="33" fillId="5" borderId="36" xfId="0" applyNumberFormat="1" applyFont="1" applyFill="1" applyBorder="1" applyAlignment="1">
      <alignment horizontal="right"/>
    </xf>
    <xf numFmtId="0" fontId="34" fillId="13" borderId="40" xfId="0" applyFont="1" applyFill="1" applyBorder="1" applyAlignment="1">
      <alignment horizontal="center" vertical="center"/>
    </xf>
    <xf numFmtId="168" fontId="33" fillId="5" borderId="41" xfId="0" applyNumberFormat="1" applyFont="1" applyFill="1" applyBorder="1" applyAlignment="1">
      <alignment horizontal="right"/>
    </xf>
    <xf numFmtId="1" fontId="35" fillId="0" borderId="40" xfId="0" applyNumberFormat="1" applyFont="1" applyBorder="1" applyAlignment="1">
      <alignment vertical="center"/>
    </xf>
    <xf numFmtId="0" fontId="35" fillId="0" borderId="40" xfId="0" applyFont="1" applyBorder="1" applyAlignment="1">
      <alignment horizontal="left" vertical="center"/>
    </xf>
    <xf numFmtId="1" fontId="35" fillId="0" borderId="40" xfId="0" applyNumberFormat="1" applyFont="1" applyBorder="1" applyAlignment="1">
      <alignment horizontal="left" vertical="center"/>
    </xf>
    <xf numFmtId="0" fontId="34" fillId="13" borderId="42" xfId="0" applyFont="1" applyFill="1" applyBorder="1" applyAlignment="1">
      <alignment horizontal="center" vertical="center"/>
    </xf>
    <xf numFmtId="0" fontId="34" fillId="0" borderId="40" xfId="0" applyFont="1" applyBorder="1" applyAlignment="1">
      <alignment horizontal="left" vertical="center"/>
    </xf>
    <xf numFmtId="0" fontId="34" fillId="0" borderId="40" xfId="0" applyFont="1" applyBorder="1" applyAlignment="1">
      <alignment horizontal="center" vertical="center"/>
    </xf>
    <xf numFmtId="0" fontId="34" fillId="13" borderId="42" xfId="0" applyFont="1" applyFill="1" applyBorder="1" applyAlignment="1">
      <alignment vertical="center"/>
    </xf>
    <xf numFmtId="1" fontId="35" fillId="5" borderId="36" xfId="0" applyNumberFormat="1" applyFont="1" applyFill="1" applyBorder="1" applyAlignment="1">
      <alignment horizontal="center" vertical="center"/>
    </xf>
    <xf numFmtId="0" fontId="35" fillId="5" borderId="36" xfId="0" applyFont="1" applyFill="1" applyBorder="1" applyAlignment="1">
      <alignment horizontal="center" vertical="center"/>
    </xf>
    <xf numFmtId="0" fontId="23" fillId="9" borderId="39" xfId="0" applyFont="1" applyFill="1" applyBorder="1" applyAlignment="1">
      <alignment vertical="center"/>
    </xf>
    <xf numFmtId="10" fontId="32" fillId="0" borderId="40" xfId="0" applyNumberFormat="1" applyFont="1" applyBorder="1"/>
    <xf numFmtId="1" fontId="35" fillId="5" borderId="41" xfId="0" applyNumberFormat="1" applyFont="1" applyFill="1" applyBorder="1" applyAlignment="1">
      <alignment horizontal="center" vertical="center"/>
    </xf>
    <xf numFmtId="0" fontId="35" fillId="5" borderId="41" xfId="0" applyFont="1" applyFill="1" applyBorder="1" applyAlignment="1">
      <alignment horizontal="center" vertical="center"/>
    </xf>
    <xf numFmtId="0" fontId="25" fillId="9" borderId="41" xfId="0" applyFont="1" applyFill="1" applyBorder="1" applyAlignment="1">
      <alignment horizontal="center" vertical="center"/>
    </xf>
    <xf numFmtId="0" fontId="32" fillId="0" borderId="31" xfId="0" applyFont="1" applyBorder="1"/>
    <xf numFmtId="0" fontId="3" fillId="0" borderId="40" xfId="0" applyFont="1" applyBorder="1" applyAlignment="1">
      <alignment horizontal="left" vertical="center"/>
    </xf>
    <xf numFmtId="10" fontId="23" fillId="9" borderId="36" xfId="0" applyNumberFormat="1" applyFont="1" applyFill="1" applyBorder="1" applyAlignment="1">
      <alignment horizontal="center" vertical="center"/>
    </xf>
    <xf numFmtId="10" fontId="35" fillId="5" borderId="36" xfId="0" applyNumberFormat="1" applyFont="1" applyFill="1" applyBorder="1" applyAlignment="1">
      <alignment horizontal="center" vertical="center"/>
    </xf>
    <xf numFmtId="10" fontId="23" fillId="9" borderId="41" xfId="0" applyNumberFormat="1" applyFont="1" applyFill="1" applyBorder="1" applyAlignment="1">
      <alignment horizontal="center" vertical="center"/>
    </xf>
    <xf numFmtId="10" fontId="35" fillId="5" borderId="41" xfId="0" applyNumberFormat="1" applyFont="1" applyFill="1" applyBorder="1" applyAlignment="1">
      <alignment horizontal="center" vertical="center"/>
    </xf>
    <xf numFmtId="10" fontId="45" fillId="16" borderId="36" xfId="1" applyNumberFormat="1" applyFont="1" applyFill="1" applyBorder="1" applyAlignment="1">
      <alignment horizontal="center"/>
    </xf>
    <xf numFmtId="10" fontId="45" fillId="16" borderId="41" xfId="1" applyNumberFormat="1" applyFont="1" applyFill="1" applyBorder="1" applyAlignment="1">
      <alignment horizontal="center"/>
    </xf>
    <xf numFmtId="10" fontId="3" fillId="5" borderId="40" xfId="0" applyNumberFormat="1" applyFont="1" applyFill="1" applyBorder="1" applyAlignment="1">
      <alignment horizontal="center" vertical="center"/>
    </xf>
    <xf numFmtId="10" fontId="34" fillId="13" borderId="40" xfId="0" applyNumberFormat="1" applyFont="1" applyFill="1" applyBorder="1" applyAlignment="1">
      <alignment horizontal="center" vertical="center"/>
    </xf>
    <xf numFmtId="1" fontId="35" fillId="5" borderId="40" xfId="0" applyNumberFormat="1" applyFont="1" applyFill="1" applyBorder="1" applyAlignment="1">
      <alignment horizontal="center" vertical="center"/>
    </xf>
    <xf numFmtId="0" fontId="35" fillId="5" borderId="40" xfId="0" applyFont="1" applyFill="1" applyBorder="1" applyAlignment="1">
      <alignment horizontal="center" vertical="center"/>
    </xf>
    <xf numFmtId="10" fontId="34" fillId="13" borderId="42" xfId="0" applyNumberFormat="1" applyFont="1" applyFill="1" applyBorder="1" applyAlignment="1">
      <alignment horizontal="center" vertical="center"/>
    </xf>
    <xf numFmtId="10" fontId="45" fillId="16" borderId="40" xfId="1" applyNumberFormat="1" applyFont="1" applyFill="1" applyBorder="1" applyAlignment="1">
      <alignment horizontal="center"/>
    </xf>
    <xf numFmtId="10" fontId="35" fillId="5" borderId="40" xfId="0" applyNumberFormat="1" applyFont="1" applyFill="1" applyBorder="1" applyAlignment="1">
      <alignment horizontal="center" vertical="center"/>
    </xf>
    <xf numFmtId="43" fontId="3" fillId="5" borderId="40" xfId="2" applyFont="1" applyFill="1" applyBorder="1" applyAlignment="1">
      <alignment horizontal="center" vertical="center"/>
    </xf>
    <xf numFmtId="3" fontId="24" fillId="16" borderId="40" xfId="5" applyNumberFormat="1" applyFont="1" applyFill="1" applyBorder="1" applyAlignment="1">
      <alignment horizontal="center" vertical="center"/>
    </xf>
    <xf numFmtId="3" fontId="48" fillId="16" borderId="36" xfId="5" applyNumberFormat="1" applyFont="1" applyFill="1" applyBorder="1" applyAlignment="1">
      <alignment horizontal="center" vertical="center"/>
    </xf>
    <xf numFmtId="0" fontId="50" fillId="16" borderId="40" xfId="7" applyNumberFormat="1" applyFont="1" applyFill="1" applyBorder="1" applyAlignment="1">
      <alignment horizontal="center" vertical="center" wrapText="1"/>
    </xf>
    <xf numFmtId="3" fontId="24" fillId="16" borderId="36" xfId="5" applyNumberFormat="1" applyFont="1" applyFill="1" applyBorder="1" applyAlignment="1">
      <alignment horizontal="left" vertical="center" wrapText="1"/>
    </xf>
    <xf numFmtId="3" fontId="52" fillId="0" borderId="40" xfId="5" applyNumberFormat="1" applyFont="1" applyBorder="1" applyAlignment="1">
      <alignment horizontal="center" vertical="center" wrapText="1"/>
    </xf>
    <xf numFmtId="3" fontId="51" fillId="0" borderId="36" xfId="5" applyNumberFormat="1" applyFont="1" applyBorder="1" applyAlignment="1">
      <alignment horizontal="left" vertical="center" wrapText="1"/>
    </xf>
    <xf numFmtId="3" fontId="52" fillId="0" borderId="42" xfId="5" applyNumberFormat="1" applyFont="1" applyBorder="1" applyAlignment="1">
      <alignment horizontal="center" vertical="center" wrapText="1"/>
    </xf>
    <xf numFmtId="3" fontId="51" fillId="0" borderId="43" xfId="5" applyNumberFormat="1" applyFont="1" applyBorder="1" applyAlignment="1">
      <alignment horizontal="left" vertical="center" wrapText="1"/>
    </xf>
    <xf numFmtId="0" fontId="49" fillId="16" borderId="40" xfId="7" applyNumberFormat="1" applyFont="1" applyFill="1" applyBorder="1" applyAlignment="1">
      <alignment vertical="center"/>
    </xf>
    <xf numFmtId="0" fontId="23" fillId="16" borderId="36" xfId="4" quotePrefix="1" applyNumberFormat="1" applyFont="1" applyFill="1" applyBorder="1" applyAlignment="1">
      <alignment horizontal="center" vertical="center"/>
    </xf>
    <xf numFmtId="0" fontId="51" fillId="16" borderId="40" xfId="7" applyNumberFormat="1" applyFont="1" applyFill="1" applyBorder="1" applyAlignment="1">
      <alignment vertical="center" wrapText="1"/>
    </xf>
    <xf numFmtId="1" fontId="55" fillId="16" borderId="36" xfId="7" applyNumberFormat="1" applyFont="1" applyFill="1" applyBorder="1" applyAlignment="1">
      <alignment horizontal="right" vertical="center" wrapText="1"/>
    </xf>
    <xf numFmtId="1" fontId="55" fillId="16" borderId="41" xfId="7" applyNumberFormat="1" applyFont="1" applyFill="1" applyBorder="1" applyAlignment="1">
      <alignment horizontal="right" vertical="center" wrapText="1"/>
    </xf>
    <xf numFmtId="0" fontId="50" fillId="20" borderId="40" xfId="7" applyNumberFormat="1" applyFont="1" applyFill="1" applyBorder="1" applyAlignment="1">
      <alignment horizontal="center" vertical="center" wrapText="1"/>
    </xf>
    <xf numFmtId="1" fontId="50" fillId="20" borderId="36" xfId="7" applyNumberFormat="1" applyFont="1" applyFill="1" applyBorder="1" applyAlignment="1">
      <alignment horizontal="right" vertical="center" wrapText="1"/>
    </xf>
    <xf numFmtId="1" fontId="50" fillId="20" borderId="41" xfId="7" applyNumberFormat="1" applyFont="1" applyFill="1" applyBorder="1" applyAlignment="1">
      <alignment horizontal="right" vertical="center" wrapText="1"/>
    </xf>
    <xf numFmtId="3" fontId="51" fillId="21" borderId="36" xfId="5" applyNumberFormat="1" applyFont="1" applyFill="1" applyBorder="1" applyAlignment="1">
      <alignment horizontal="left" vertical="center" wrapText="1"/>
    </xf>
    <xf numFmtId="10" fontId="32" fillId="19" borderId="36" xfId="6" applyNumberFormat="1" applyFont="1" applyFill="1" applyBorder="1" applyAlignment="1">
      <alignment horizontal="right" vertical="center" wrapText="1"/>
    </xf>
    <xf numFmtId="10" fontId="32" fillId="19" borderId="41" xfId="6" applyNumberFormat="1" applyFont="1" applyFill="1" applyBorder="1" applyAlignment="1">
      <alignment horizontal="right" vertical="center" wrapText="1"/>
    </xf>
    <xf numFmtId="173" fontId="32" fillId="19" borderId="36" xfId="4" applyNumberFormat="1" applyFont="1" applyFill="1" applyBorder="1" applyAlignment="1">
      <alignment horizontal="right" vertical="center" wrapText="1"/>
    </xf>
    <xf numFmtId="173" fontId="32" fillId="19" borderId="41" xfId="4" applyNumberFormat="1" applyFont="1" applyFill="1" applyBorder="1" applyAlignment="1">
      <alignment horizontal="right" vertical="center" wrapText="1"/>
    </xf>
    <xf numFmtId="173" fontId="32" fillId="19" borderId="43" xfId="4" applyNumberFormat="1" applyFont="1" applyFill="1" applyBorder="1" applyAlignment="1">
      <alignment horizontal="right" vertical="center" wrapText="1"/>
    </xf>
    <xf numFmtId="173" fontId="32" fillId="19" borderId="44" xfId="4" applyNumberFormat="1" applyFont="1" applyFill="1" applyBorder="1" applyAlignment="1">
      <alignment horizontal="right" vertical="center" wrapText="1"/>
    </xf>
    <xf numFmtId="0" fontId="56" fillId="0" borderId="31" xfId="9"/>
    <xf numFmtId="0" fontId="20" fillId="0" borderId="31" xfId="9" applyFont="1"/>
    <xf numFmtId="0" fontId="30" fillId="0" borderId="31" xfId="9" applyFont="1"/>
    <xf numFmtId="0" fontId="35" fillId="0" borderId="31" xfId="9" applyFont="1" applyAlignment="1">
      <alignment vertical="center"/>
    </xf>
    <xf numFmtId="0" fontId="35" fillId="0" borderId="31" xfId="9" applyFont="1" applyAlignment="1">
      <alignment horizontal="right" vertical="center"/>
    </xf>
    <xf numFmtId="0" fontId="20" fillId="0" borderId="31" xfId="9" applyFont="1" applyAlignment="1">
      <alignment horizontal="right"/>
    </xf>
    <xf numFmtId="167" fontId="20" fillId="0" borderId="31" xfId="9" applyNumberFormat="1" applyFont="1"/>
    <xf numFmtId="0" fontId="44" fillId="0" borderId="31" xfId="9" applyFont="1" applyAlignment="1">
      <alignment vertical="center"/>
    </xf>
    <xf numFmtId="0" fontId="22" fillId="9" borderId="51" xfId="9" applyFont="1" applyFill="1" applyBorder="1" applyAlignment="1">
      <alignment horizontal="center" vertical="center"/>
    </xf>
    <xf numFmtId="0" fontId="22" fillId="9" borderId="50" xfId="9" applyFont="1" applyFill="1" applyBorder="1" applyAlignment="1">
      <alignment horizontal="center" vertical="center"/>
    </xf>
    <xf numFmtId="0" fontId="23" fillId="9" borderId="51" xfId="9" applyFont="1" applyFill="1" applyBorder="1" applyAlignment="1">
      <alignment vertical="center"/>
    </xf>
    <xf numFmtId="0" fontId="23" fillId="9" borderId="51" xfId="9" applyFont="1" applyFill="1" applyBorder="1" applyAlignment="1">
      <alignment horizontal="center" vertical="center"/>
    </xf>
    <xf numFmtId="0" fontId="24" fillId="9" borderId="51" xfId="9" applyFont="1" applyFill="1" applyBorder="1" applyAlignment="1">
      <alignment horizontal="center" vertical="center"/>
    </xf>
    <xf numFmtId="0" fontId="24" fillId="9" borderId="33" xfId="9" applyFont="1" applyFill="1" applyBorder="1" applyAlignment="1">
      <alignment horizontal="center" vertical="center"/>
    </xf>
    <xf numFmtId="0" fontId="24" fillId="9" borderId="50" xfId="9" applyFont="1" applyFill="1" applyBorder="1" applyAlignment="1">
      <alignment horizontal="center" vertical="center"/>
    </xf>
    <xf numFmtId="0" fontId="23" fillId="9" borderId="36" xfId="9" applyFont="1" applyFill="1" applyBorder="1" applyAlignment="1">
      <alignment vertical="center"/>
    </xf>
    <xf numFmtId="0" fontId="25" fillId="9" borderId="36" xfId="9" applyFont="1" applyFill="1" applyBorder="1" applyAlignment="1">
      <alignment horizontal="center" vertical="center"/>
    </xf>
    <xf numFmtId="0" fontId="25" fillId="9" borderId="51" xfId="9" applyFont="1" applyFill="1" applyBorder="1" applyAlignment="1">
      <alignment vertical="center"/>
    </xf>
    <xf numFmtId="0" fontId="23" fillId="9" borderId="33" xfId="9" applyFont="1" applyFill="1" applyBorder="1" applyAlignment="1">
      <alignment vertical="center"/>
    </xf>
    <xf numFmtId="0" fontId="23" fillId="9" borderId="50" xfId="9" applyFont="1" applyFill="1" applyBorder="1" applyAlignment="1">
      <alignment vertical="center"/>
    </xf>
    <xf numFmtId="1" fontId="32" fillId="0" borderId="51" xfId="9" applyNumberFormat="1" applyFont="1" applyBorder="1"/>
    <xf numFmtId="171" fontId="32" fillId="0" borderId="51" xfId="9" applyNumberFormat="1" applyFont="1" applyBorder="1" applyAlignment="1">
      <alignment horizontal="right"/>
    </xf>
    <xf numFmtId="0" fontId="26" fillId="0" borderId="52" xfId="9" applyFont="1" applyBorder="1" applyAlignment="1">
      <alignment horizontal="left" vertical="top"/>
    </xf>
    <xf numFmtId="0" fontId="27" fillId="0" borderId="54" xfId="9" applyFont="1" applyBorder="1"/>
    <xf numFmtId="0" fontId="26" fillId="0" borderId="55" xfId="9" applyFont="1" applyBorder="1" applyAlignment="1">
      <alignment horizontal="left" vertical="top"/>
    </xf>
    <xf numFmtId="0" fontId="20" fillId="0" borderId="60" xfId="9" applyFont="1" applyBorder="1"/>
    <xf numFmtId="0" fontId="32" fillId="0" borderId="36" xfId="9" applyFont="1" applyBorder="1"/>
    <xf numFmtId="171" fontId="32" fillId="0" borderId="36" xfId="9" applyNumberFormat="1" applyFont="1" applyBorder="1"/>
    <xf numFmtId="1" fontId="33" fillId="14" borderId="51" xfId="9" applyNumberFormat="1" applyFont="1" applyFill="1" applyBorder="1"/>
    <xf numFmtId="171" fontId="33" fillId="14" borderId="51" xfId="9" applyNumberFormat="1" applyFont="1" applyFill="1" applyBorder="1" applyAlignment="1">
      <alignment horizontal="right"/>
    </xf>
    <xf numFmtId="0" fontId="28" fillId="2" borderId="52" xfId="9" applyFont="1" applyFill="1" applyBorder="1" applyAlignment="1">
      <alignment horizontal="left" vertical="top"/>
    </xf>
    <xf numFmtId="4" fontId="29" fillId="10" borderId="54" xfId="9" applyNumberFormat="1" applyFont="1" applyFill="1" applyBorder="1" applyAlignment="1">
      <alignment horizontal="right" vertical="top"/>
    </xf>
    <xf numFmtId="0" fontId="29" fillId="10" borderId="54" xfId="9" applyFont="1" applyFill="1" applyBorder="1" applyAlignment="1">
      <alignment horizontal="right" vertical="top"/>
    </xf>
    <xf numFmtId="0" fontId="30" fillId="10" borderId="55" xfId="9" applyFont="1" applyFill="1" applyBorder="1" applyAlignment="1">
      <alignment horizontal="right" vertical="top"/>
    </xf>
    <xf numFmtId="0" fontId="30" fillId="10" borderId="53" xfId="9" applyFont="1" applyFill="1" applyBorder="1" applyAlignment="1">
      <alignment horizontal="right" vertical="top"/>
    </xf>
    <xf numFmtId="0" fontId="30" fillId="2" borderId="52" xfId="9" applyFont="1" applyFill="1" applyBorder="1" applyAlignment="1">
      <alignment horizontal="left" vertical="top"/>
    </xf>
    <xf numFmtId="171" fontId="29" fillId="10" borderId="54" xfId="9" applyNumberFormat="1" applyFont="1" applyFill="1" applyBorder="1" applyAlignment="1">
      <alignment horizontal="right" vertical="top"/>
    </xf>
    <xf numFmtId="171" fontId="29" fillId="10" borderId="61" xfId="9" applyNumberFormat="1" applyFont="1" applyFill="1" applyBorder="1" applyAlignment="1">
      <alignment horizontal="right" vertical="top"/>
    </xf>
    <xf numFmtId="0" fontId="35" fillId="0" borderId="36" xfId="9" applyFont="1" applyBorder="1"/>
    <xf numFmtId="0" fontId="30" fillId="2" borderId="52" xfId="9" applyFont="1" applyFill="1" applyBorder="1"/>
    <xf numFmtId="0" fontId="58" fillId="0" borderId="36" xfId="9" applyFont="1" applyBorder="1" applyAlignment="1">
      <alignment horizontal="right"/>
    </xf>
    <xf numFmtId="0" fontId="28" fillId="11" borderId="52" xfId="9" applyFont="1" applyFill="1" applyBorder="1" applyAlignment="1">
      <alignment horizontal="left" vertical="top"/>
    </xf>
    <xf numFmtId="171" fontId="31" fillId="11" borderId="54" xfId="9" applyNumberFormat="1" applyFont="1" applyFill="1" applyBorder="1" applyAlignment="1">
      <alignment horizontal="right" vertical="top"/>
    </xf>
    <xf numFmtId="171" fontId="31" fillId="11" borderId="61" xfId="9" applyNumberFormat="1" applyFont="1" applyFill="1" applyBorder="1" applyAlignment="1">
      <alignment horizontal="right" vertical="top"/>
    </xf>
    <xf numFmtId="171" fontId="29" fillId="2" borderId="54" xfId="9" applyNumberFormat="1" applyFont="1" applyFill="1" applyBorder="1" applyAlignment="1">
      <alignment horizontal="right" vertical="top"/>
    </xf>
    <xf numFmtId="171" fontId="29" fillId="2" borderId="61" xfId="9" applyNumberFormat="1" applyFont="1" applyFill="1" applyBorder="1" applyAlignment="1">
      <alignment horizontal="right" vertical="top"/>
    </xf>
    <xf numFmtId="0" fontId="34" fillId="11" borderId="36" xfId="9" applyFont="1" applyFill="1" applyBorder="1" applyAlignment="1">
      <alignment horizontal="left" vertical="top"/>
    </xf>
    <xf numFmtId="171" fontId="59" fillId="11" borderId="36" xfId="9" applyNumberFormat="1" applyFont="1" applyFill="1" applyBorder="1" applyAlignment="1">
      <alignment horizontal="right" vertical="top"/>
    </xf>
    <xf numFmtId="1" fontId="32" fillId="14" borderId="51" xfId="9" applyNumberFormat="1" applyFont="1" applyFill="1" applyBorder="1"/>
    <xf numFmtId="171" fontId="31" fillId="2" borderId="54" xfId="9" applyNumberFormat="1" applyFont="1" applyFill="1" applyBorder="1" applyAlignment="1">
      <alignment horizontal="right" vertical="top"/>
    </xf>
    <xf numFmtId="171" fontId="31" fillId="2" borderId="61" xfId="9" applyNumberFormat="1" applyFont="1" applyFill="1" applyBorder="1" applyAlignment="1">
      <alignment horizontal="right" vertical="top"/>
    </xf>
    <xf numFmtId="0" fontId="31" fillId="0" borderId="52" xfId="9" applyFont="1" applyBorder="1" applyAlignment="1">
      <alignment horizontal="left" vertical="top"/>
    </xf>
    <xf numFmtId="171" fontId="30" fillId="0" borderId="54" xfId="9" applyNumberFormat="1" applyFont="1" applyBorder="1"/>
    <xf numFmtId="171" fontId="30" fillId="0" borderId="61" xfId="9" applyNumberFormat="1" applyFont="1" applyBorder="1"/>
    <xf numFmtId="171" fontId="30" fillId="10" borderId="54" xfId="9" applyNumberFormat="1" applyFont="1" applyFill="1" applyBorder="1" applyAlignment="1">
      <alignment horizontal="right"/>
    </xf>
    <xf numFmtId="171" fontId="30" fillId="10" borderId="61" xfId="9" applyNumberFormat="1" applyFont="1" applyFill="1" applyBorder="1" applyAlignment="1">
      <alignment horizontal="right"/>
    </xf>
    <xf numFmtId="0" fontId="60" fillId="0" borderId="36" xfId="9" applyFont="1" applyBorder="1"/>
    <xf numFmtId="171" fontId="60" fillId="0" borderId="36" xfId="9" applyNumberFormat="1" applyFont="1" applyBorder="1"/>
    <xf numFmtId="0" fontId="28" fillId="2" borderId="52" xfId="9" applyFont="1" applyFill="1" applyBorder="1"/>
    <xf numFmtId="171" fontId="30" fillId="10" borderId="54" xfId="9" applyNumberFormat="1" applyFont="1" applyFill="1" applyBorder="1"/>
    <xf numFmtId="171" fontId="30" fillId="10" borderId="61" xfId="9" applyNumberFormat="1" applyFont="1" applyFill="1" applyBorder="1"/>
    <xf numFmtId="171" fontId="31" fillId="10" borderId="54" xfId="9" applyNumberFormat="1" applyFont="1" applyFill="1" applyBorder="1" applyAlignment="1">
      <alignment horizontal="right" vertical="top"/>
    </xf>
    <xf numFmtId="171" fontId="31" fillId="10" borderId="61" xfId="9" applyNumberFormat="1" applyFont="1" applyFill="1" applyBorder="1" applyAlignment="1">
      <alignment horizontal="right" vertical="top"/>
    </xf>
    <xf numFmtId="171" fontId="28" fillId="11" borderId="54" xfId="9" applyNumberFormat="1" applyFont="1" applyFill="1" applyBorder="1" applyAlignment="1">
      <alignment horizontal="right" vertical="top"/>
    </xf>
    <xf numFmtId="171" fontId="28" fillId="11" borderId="61" xfId="9" applyNumberFormat="1" applyFont="1" applyFill="1" applyBorder="1" applyAlignment="1">
      <alignment horizontal="right" vertical="top"/>
    </xf>
    <xf numFmtId="0" fontId="28" fillId="11" borderId="56" xfId="9" applyFont="1" applyFill="1" applyBorder="1" applyAlignment="1">
      <alignment horizontal="left" vertical="top"/>
    </xf>
    <xf numFmtId="171" fontId="31" fillId="11" borderId="57" xfId="9" applyNumberFormat="1" applyFont="1" applyFill="1" applyBorder="1" applyAlignment="1">
      <alignment horizontal="right" vertical="top"/>
    </xf>
    <xf numFmtId="171" fontId="31" fillId="11" borderId="59" xfId="9" applyNumberFormat="1" applyFont="1" applyFill="1" applyBorder="1" applyAlignment="1">
      <alignment horizontal="right" vertical="top"/>
    </xf>
    <xf numFmtId="172" fontId="22" fillId="16" borderId="40" xfId="4" applyNumberFormat="1" applyFont="1" applyFill="1" applyBorder="1" applyAlignment="1">
      <alignment horizontal="center" vertical="center" wrapText="1"/>
    </xf>
    <xf numFmtId="0" fontId="1" fillId="0" borderId="31" xfId="10" applyAlignment="1">
      <alignment vertical="center"/>
    </xf>
    <xf numFmtId="0" fontId="77" fillId="16" borderId="40" xfId="7" applyNumberFormat="1" applyFont="1" applyFill="1" applyBorder="1" applyAlignment="1">
      <alignment horizontal="center" vertical="center"/>
    </xf>
    <xf numFmtId="0" fontId="44" fillId="0" borderId="31" xfId="3" applyFont="1" applyAlignment="1">
      <alignment vertical="center"/>
    </xf>
    <xf numFmtId="0" fontId="78" fillId="21" borderId="0" xfId="0" applyFont="1" applyFill="1" applyAlignment="1">
      <alignment vertical="center"/>
    </xf>
    <xf numFmtId="0" fontId="79" fillId="16" borderId="40" xfId="7" applyNumberFormat="1" applyFont="1" applyFill="1" applyBorder="1" applyAlignment="1">
      <alignment horizontal="center" vertical="center"/>
    </xf>
    <xf numFmtId="0" fontId="79" fillId="16" borderId="36" xfId="7" applyNumberFormat="1" applyFont="1" applyFill="1" applyBorder="1" applyAlignment="1">
      <alignment horizontal="center" vertical="center"/>
    </xf>
    <xf numFmtId="0" fontId="61" fillId="0" borderId="31" xfId="9" applyFont="1" applyAlignment="1">
      <alignment vertical="center"/>
    </xf>
    <xf numFmtId="0" fontId="63" fillId="0" borderId="31" xfId="9" applyFont="1" applyAlignment="1">
      <alignment vertical="center"/>
    </xf>
    <xf numFmtId="0" fontId="56" fillId="0" borderId="31" xfId="9" applyAlignment="1">
      <alignment vertical="center"/>
    </xf>
    <xf numFmtId="0" fontId="68" fillId="0" borderId="31" xfId="9" applyFont="1" applyAlignment="1">
      <alignment horizontal="center" vertical="center"/>
    </xf>
    <xf numFmtId="0" fontId="69" fillId="0" borderId="31" xfId="9" applyFont="1" applyAlignment="1">
      <alignment horizontal="center" vertical="center"/>
    </xf>
    <xf numFmtId="171" fontId="63" fillId="0" borderId="31" xfId="9" applyNumberFormat="1" applyFont="1" applyAlignment="1">
      <alignment horizontal="left" vertical="center"/>
    </xf>
    <xf numFmtId="0" fontId="33" fillId="0" borderId="40" xfId="9" applyFont="1" applyBorder="1" applyAlignment="1">
      <alignment horizontal="center" vertical="center"/>
    </xf>
    <xf numFmtId="0" fontId="32" fillId="0" borderId="36" xfId="9" applyFont="1" applyBorder="1" applyAlignment="1">
      <alignment horizontal="center" vertical="center"/>
    </xf>
    <xf numFmtId="0" fontId="76" fillId="0" borderId="31" xfId="9" applyFont="1" applyAlignment="1">
      <alignment vertical="center"/>
    </xf>
    <xf numFmtId="0" fontId="33" fillId="0" borderId="42" xfId="9" applyFont="1" applyBorder="1" applyAlignment="1">
      <alignment horizontal="center" vertical="center"/>
    </xf>
    <xf numFmtId="0" fontId="32" fillId="0" borderId="43" xfId="9" applyFont="1" applyBorder="1" applyAlignment="1">
      <alignment horizontal="center" vertical="center"/>
    </xf>
    <xf numFmtId="0" fontId="34" fillId="0" borderId="40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71" fillId="17" borderId="62" xfId="9" applyFont="1" applyFill="1" applyBorder="1" applyAlignment="1">
      <alignment horizontal="left" vertical="center"/>
    </xf>
    <xf numFmtId="0" fontId="63" fillId="0" borderId="58" xfId="9" applyFont="1" applyBorder="1" applyAlignment="1">
      <alignment horizontal="center" vertical="center"/>
    </xf>
    <xf numFmtId="0" fontId="63" fillId="0" borderId="48" xfId="9" applyFont="1" applyBorder="1" applyAlignment="1">
      <alignment horizontal="center" vertical="center"/>
    </xf>
    <xf numFmtId="0" fontId="63" fillId="0" borderId="59" xfId="9" applyFont="1" applyBorder="1" applyAlignment="1">
      <alignment horizontal="center" vertical="center"/>
    </xf>
    <xf numFmtId="0" fontId="71" fillId="0" borderId="31" xfId="9" applyFont="1" applyAlignment="1">
      <alignment horizontal="left" vertical="center"/>
    </xf>
    <xf numFmtId="0" fontId="63" fillId="0" borderId="31" xfId="9" applyFont="1" applyAlignment="1">
      <alignment horizontal="center" vertical="center"/>
    </xf>
    <xf numFmtId="0" fontId="71" fillId="17" borderId="58" xfId="9" applyFont="1" applyFill="1" applyBorder="1" applyAlignment="1">
      <alignment horizontal="left" vertical="center"/>
    </xf>
    <xf numFmtId="168" fontId="35" fillId="23" borderId="36" xfId="9" applyNumberFormat="1" applyFont="1" applyFill="1" applyBorder="1" applyAlignment="1">
      <alignment horizontal="left" vertical="center"/>
    </xf>
    <xf numFmtId="171" fontId="35" fillId="23" borderId="36" xfId="9" applyNumberFormat="1" applyFont="1" applyFill="1" applyBorder="1" applyAlignment="1">
      <alignment horizontal="left" vertical="center"/>
    </xf>
    <xf numFmtId="0" fontId="1" fillId="0" borderId="31" xfId="9" applyFont="1" applyAlignment="1">
      <alignment vertical="center"/>
    </xf>
    <xf numFmtId="168" fontId="35" fillId="0" borderId="31" xfId="9" applyNumberFormat="1" applyFont="1" applyAlignment="1">
      <alignment vertical="center"/>
    </xf>
    <xf numFmtId="171" fontId="1" fillId="0" borderId="31" xfId="9" applyNumberFormat="1" applyFont="1" applyAlignment="1">
      <alignment vertical="center"/>
    </xf>
    <xf numFmtId="171" fontId="35" fillId="0" borderId="31" xfId="9" applyNumberFormat="1" applyFont="1" applyAlignment="1">
      <alignment vertical="center"/>
    </xf>
    <xf numFmtId="168" fontId="35" fillId="23" borderId="43" xfId="9" applyNumberFormat="1" applyFont="1" applyFill="1" applyBorder="1" applyAlignment="1">
      <alignment horizontal="left" vertical="center"/>
    </xf>
    <xf numFmtId="0" fontId="61" fillId="2" borderId="31" xfId="9" applyFont="1" applyFill="1" applyAlignment="1">
      <alignment vertical="center"/>
    </xf>
    <xf numFmtId="0" fontId="34" fillId="0" borderId="40" xfId="9" applyFont="1" applyBorder="1" applyAlignment="1">
      <alignment horizontal="left" vertical="center"/>
    </xf>
    <xf numFmtId="0" fontId="34" fillId="0" borderId="42" xfId="9" applyFont="1" applyBorder="1" applyAlignment="1">
      <alignment horizontal="left" vertical="center"/>
    </xf>
    <xf numFmtId="0" fontId="30" fillId="0" borderId="31" xfId="9" applyFont="1" applyAlignment="1">
      <alignment vertical="center"/>
    </xf>
    <xf numFmtId="0" fontId="63" fillId="0" borderId="31" xfId="9" applyFont="1" applyAlignment="1">
      <alignment horizontal="right" vertical="center"/>
    </xf>
    <xf numFmtId="171" fontId="63" fillId="0" borderId="31" xfId="9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24" fillId="16" borderId="36" xfId="4" quotePrefix="1" applyNumberFormat="1" applyFont="1" applyFill="1" applyBorder="1" applyAlignment="1">
      <alignment horizontal="right" vertical="center"/>
    </xf>
    <xf numFmtId="0" fontId="24" fillId="16" borderId="36" xfId="4" quotePrefix="1" applyNumberFormat="1" applyFont="1" applyFill="1" applyBorder="1" applyAlignment="1">
      <alignment horizontal="right" vertical="center"/>
    </xf>
    <xf numFmtId="0" fontId="24" fillId="16" borderId="41" xfId="4" quotePrefix="1" applyNumberFormat="1" applyFont="1" applyFill="1" applyBorder="1" applyAlignment="1">
      <alignment horizontal="right" vertical="center"/>
    </xf>
    <xf numFmtId="10" fontId="35" fillId="23" borderId="36" xfId="9" applyNumberFormat="1" applyFont="1" applyFill="1" applyBorder="1" applyAlignment="1">
      <alignment horizontal="right" vertical="center"/>
    </xf>
    <xf numFmtId="10" fontId="35" fillId="23" borderId="41" xfId="9" applyNumberFormat="1" applyFont="1" applyFill="1" applyBorder="1" applyAlignment="1">
      <alignment horizontal="right" vertical="center"/>
    </xf>
    <xf numFmtId="10" fontId="32" fillId="23" borderId="36" xfId="9" applyNumberFormat="1" applyFont="1" applyFill="1" applyBorder="1" applyAlignment="1">
      <alignment horizontal="right" vertical="center"/>
    </xf>
    <xf numFmtId="10" fontId="32" fillId="23" borderId="41" xfId="9" applyNumberFormat="1" applyFont="1" applyFill="1" applyBorder="1" applyAlignment="1">
      <alignment horizontal="right" vertical="center"/>
    </xf>
    <xf numFmtId="10" fontId="35" fillId="23" borderId="43" xfId="9" applyNumberFormat="1" applyFont="1" applyFill="1" applyBorder="1" applyAlignment="1">
      <alignment horizontal="right" vertical="center"/>
    </xf>
    <xf numFmtId="10" fontId="35" fillId="23" borderId="44" xfId="9" applyNumberFormat="1" applyFont="1" applyFill="1" applyBorder="1" applyAlignment="1">
      <alignment horizontal="right" vertical="center"/>
    </xf>
    <xf numFmtId="10" fontId="63" fillId="0" borderId="31" xfId="9" applyNumberFormat="1" applyFont="1" applyAlignment="1">
      <alignment horizontal="right" vertical="center"/>
    </xf>
    <xf numFmtId="0" fontId="24" fillId="16" borderId="36" xfId="4" quotePrefix="1" applyNumberFormat="1" applyFont="1" applyFill="1" applyBorder="1" applyAlignment="1">
      <alignment horizontal="right" vertical="center" wrapText="1"/>
    </xf>
    <xf numFmtId="0" fontId="24" fillId="16" borderId="41" xfId="4" quotePrefix="1" applyNumberFormat="1" applyFont="1" applyFill="1" applyBorder="1" applyAlignment="1">
      <alignment horizontal="right" vertical="center" wrapText="1"/>
    </xf>
    <xf numFmtId="0" fontId="35" fillId="23" borderId="36" xfId="9" applyFont="1" applyFill="1" applyBorder="1" applyAlignment="1">
      <alignment horizontal="right" vertical="center"/>
    </xf>
    <xf numFmtId="0" fontId="35" fillId="23" borderId="41" xfId="9" applyFont="1" applyFill="1" applyBorder="1" applyAlignment="1">
      <alignment horizontal="right" vertical="center"/>
    </xf>
    <xf numFmtId="174" fontId="35" fillId="23" borderId="36" xfId="9" applyNumberFormat="1" applyFont="1" applyFill="1" applyBorder="1" applyAlignment="1">
      <alignment horizontal="right" vertical="center"/>
    </xf>
    <xf numFmtId="174" fontId="35" fillId="23" borderId="41" xfId="9" applyNumberFormat="1" applyFont="1" applyFill="1" applyBorder="1" applyAlignment="1">
      <alignment horizontal="right" vertical="center"/>
    </xf>
    <xf numFmtId="2" fontId="35" fillId="23" borderId="36" xfId="9" applyNumberFormat="1" applyFont="1" applyFill="1" applyBorder="1" applyAlignment="1">
      <alignment horizontal="right" vertical="center"/>
    </xf>
    <xf numFmtId="2" fontId="35" fillId="23" borderId="41" xfId="9" applyNumberFormat="1" applyFont="1" applyFill="1" applyBorder="1" applyAlignment="1">
      <alignment horizontal="right" vertical="center"/>
    </xf>
    <xf numFmtId="10" fontId="72" fillId="18" borderId="59" xfId="9" applyNumberFormat="1" applyFont="1" applyFill="1" applyBorder="1" applyAlignment="1">
      <alignment horizontal="right" vertical="center"/>
    </xf>
    <xf numFmtId="10" fontId="72" fillId="18" borderId="58" xfId="9" applyNumberFormat="1" applyFont="1" applyFill="1" applyBorder="1" applyAlignment="1">
      <alignment horizontal="right" vertical="center"/>
    </xf>
    <xf numFmtId="10" fontId="72" fillId="0" borderId="31" xfId="9" applyNumberFormat="1" applyFont="1" applyAlignment="1">
      <alignment horizontal="right" vertical="center"/>
    </xf>
    <xf numFmtId="0" fontId="23" fillId="16" borderId="36" xfId="4" quotePrefix="1" applyNumberFormat="1" applyFont="1" applyFill="1" applyBorder="1" applyAlignment="1">
      <alignment horizontal="right" vertical="center"/>
    </xf>
    <xf numFmtId="0" fontId="23" fillId="16" borderId="41" xfId="4" quotePrefix="1" applyNumberFormat="1" applyFont="1" applyFill="1" applyBorder="1" applyAlignment="1">
      <alignment horizontal="right" vertical="center"/>
    </xf>
    <xf numFmtId="0" fontId="35" fillId="23" borderId="43" xfId="9" applyFont="1" applyFill="1" applyBorder="1" applyAlignment="1">
      <alignment horizontal="right" vertical="center"/>
    </xf>
    <xf numFmtId="0" fontId="35" fillId="23" borderId="44" xfId="9" applyFont="1" applyFill="1" applyBorder="1" applyAlignment="1">
      <alignment horizontal="right" vertical="center"/>
    </xf>
    <xf numFmtId="0" fontId="61" fillId="0" borderId="31" xfId="9" applyFont="1" applyAlignment="1">
      <alignment horizontal="right" vertical="center"/>
    </xf>
    <xf numFmtId="2" fontId="32" fillId="19" borderId="36" xfId="6" applyNumberFormat="1" applyFont="1" applyFill="1" applyBorder="1" applyAlignment="1">
      <alignment horizontal="right" vertical="center" wrapText="1"/>
    </xf>
    <xf numFmtId="2" fontId="32" fillId="19" borderId="41" xfId="6" applyNumberFormat="1" applyFont="1" applyFill="1" applyBorder="1" applyAlignment="1">
      <alignment horizontal="right" vertical="center" wrapText="1"/>
    </xf>
    <xf numFmtId="10" fontId="32" fillId="19" borderId="43" xfId="6" applyNumberFormat="1" applyFont="1" applyFill="1" applyBorder="1" applyAlignment="1">
      <alignment horizontal="right" vertical="center" wrapText="1"/>
    </xf>
    <xf numFmtId="10" fontId="32" fillId="19" borderId="44" xfId="6" applyNumberFormat="1" applyFont="1" applyFill="1" applyBorder="1" applyAlignment="1">
      <alignment horizontal="right" vertical="center" wrapText="1"/>
    </xf>
    <xf numFmtId="0" fontId="1" fillId="0" borderId="31" xfId="10" applyAlignment="1">
      <alignment horizontal="right" vertical="center"/>
    </xf>
    <xf numFmtId="168" fontId="35" fillId="23" borderId="36" xfId="9" applyNumberFormat="1" applyFont="1" applyFill="1" applyBorder="1" applyAlignment="1">
      <alignment horizontal="right" vertical="center"/>
    </xf>
    <xf numFmtId="168" fontId="35" fillId="23" borderId="41" xfId="9" applyNumberFormat="1" applyFont="1" applyFill="1" applyBorder="1" applyAlignment="1">
      <alignment horizontal="right" vertical="center"/>
    </xf>
    <xf numFmtId="171" fontId="35" fillId="23" borderId="36" xfId="9" applyNumberFormat="1" applyFont="1" applyFill="1" applyBorder="1" applyAlignment="1">
      <alignment horizontal="right" vertical="center"/>
    </xf>
    <xf numFmtId="171" fontId="35" fillId="23" borderId="41" xfId="9" applyNumberFormat="1" applyFont="1" applyFill="1" applyBorder="1" applyAlignment="1">
      <alignment horizontal="right" vertical="center"/>
    </xf>
    <xf numFmtId="168" fontId="35" fillId="23" borderId="43" xfId="9" applyNumberFormat="1" applyFont="1" applyFill="1" applyBorder="1" applyAlignment="1">
      <alignment horizontal="right" vertical="center"/>
    </xf>
    <xf numFmtId="168" fontId="35" fillId="23" borderId="44" xfId="9" applyNumberFormat="1" applyFont="1" applyFill="1" applyBorder="1" applyAlignment="1">
      <alignment horizontal="right" vertical="center"/>
    </xf>
    <xf numFmtId="0" fontId="61" fillId="2" borderId="31" xfId="9" applyFont="1" applyFill="1" applyAlignment="1">
      <alignment horizontal="right" vertical="center"/>
    </xf>
    <xf numFmtId="0" fontId="78" fillId="21" borderId="0" xfId="0" applyFont="1" applyFill="1" applyAlignment="1">
      <alignment horizontal="right" vertical="center"/>
    </xf>
    <xf numFmtId="0" fontId="81" fillId="16" borderId="36" xfId="11" quotePrefix="1" applyNumberFormat="1" applyFont="1" applyFill="1" applyBorder="1" applyAlignment="1">
      <alignment horizontal="right" vertical="center"/>
    </xf>
    <xf numFmtId="0" fontId="81" fillId="16" borderId="41" xfId="11" quotePrefix="1" applyNumberFormat="1" applyFont="1" applyFill="1" applyBorder="1" applyAlignment="1">
      <alignment horizontal="right" vertical="center"/>
    </xf>
    <xf numFmtId="2" fontId="35" fillId="23" borderId="43" xfId="9" applyNumberFormat="1" applyFont="1" applyFill="1" applyBorder="1" applyAlignment="1">
      <alignment horizontal="right" vertical="center"/>
    </xf>
    <xf numFmtId="2" fontId="35" fillId="23" borderId="44" xfId="9" applyNumberFormat="1" applyFont="1" applyFill="1" applyBorder="1" applyAlignment="1">
      <alignment horizontal="right" vertical="center"/>
    </xf>
    <xf numFmtId="0" fontId="23" fillId="16" borderId="36" xfId="11" quotePrefix="1" applyNumberFormat="1" applyFont="1" applyFill="1" applyBorder="1" applyAlignment="1">
      <alignment horizontal="right" vertical="center"/>
    </xf>
    <xf numFmtId="0" fontId="23" fillId="16" borderId="41" xfId="11" quotePrefix="1" applyNumberFormat="1" applyFont="1" applyFill="1" applyBorder="1" applyAlignment="1">
      <alignment horizontal="right" vertical="center"/>
    </xf>
    <xf numFmtId="2" fontId="47" fillId="22" borderId="36" xfId="9" applyNumberFormat="1" applyFont="1" applyFill="1" applyBorder="1" applyAlignment="1">
      <alignment horizontal="right" vertical="center"/>
    </xf>
    <xf numFmtId="2" fontId="47" fillId="18" borderId="36" xfId="9" applyNumberFormat="1" applyFont="1" applyFill="1" applyBorder="1" applyAlignment="1">
      <alignment horizontal="right" vertical="center"/>
    </xf>
    <xf numFmtId="2" fontId="47" fillId="22" borderId="41" xfId="9" applyNumberFormat="1" applyFont="1" applyFill="1" applyBorder="1" applyAlignment="1">
      <alignment horizontal="right" vertical="center"/>
    </xf>
    <xf numFmtId="10" fontId="86" fillId="10" borderId="43" xfId="9" applyNumberFormat="1" applyFont="1" applyFill="1" applyBorder="1" applyAlignment="1">
      <alignment horizontal="right" vertical="center"/>
    </xf>
    <xf numFmtId="10" fontId="86" fillId="10" borderId="44" xfId="9" applyNumberFormat="1" applyFont="1" applyFill="1" applyBorder="1" applyAlignment="1">
      <alignment horizontal="right" vertical="center"/>
    </xf>
    <xf numFmtId="0" fontId="21" fillId="0" borderId="66" xfId="0" applyFont="1" applyBorder="1" applyAlignment="1">
      <alignment horizontal="right" vertical="center" wrapText="1"/>
    </xf>
    <xf numFmtId="0" fontId="5" fillId="0" borderId="31" xfId="7" applyNumberFormat="1" applyFont="1" applyFill="1" applyBorder="1" applyAlignment="1">
      <alignment horizontal="right" vertical="center"/>
    </xf>
    <xf numFmtId="0" fontId="73" fillId="0" borderId="31" xfId="9" applyFont="1" applyAlignment="1">
      <alignment horizontal="right" vertical="center"/>
    </xf>
    <xf numFmtId="0" fontId="81" fillId="16" borderId="38" xfId="11" quotePrefix="1" applyNumberFormat="1" applyFont="1" applyFill="1" applyBorder="1" applyAlignment="1">
      <alignment horizontal="right" vertical="center"/>
    </xf>
    <xf numFmtId="0" fontId="81" fillId="16" borderId="39" xfId="11" quotePrefix="1" applyNumberFormat="1" applyFont="1" applyFill="1" applyBorder="1" applyAlignment="1">
      <alignment horizontal="right" vertical="center"/>
    </xf>
    <xf numFmtId="0" fontId="56" fillId="0" borderId="31" xfId="9" applyAlignment="1">
      <alignment horizontal="right" vertical="center"/>
    </xf>
    <xf numFmtId="175" fontId="30" fillId="23" borderId="36" xfId="9" applyNumberFormat="1" applyFont="1" applyFill="1" applyBorder="1" applyAlignment="1">
      <alignment horizontal="right" vertical="center"/>
    </xf>
    <xf numFmtId="175" fontId="30" fillId="23" borderId="41" xfId="9" applyNumberFormat="1" applyFont="1" applyFill="1" applyBorder="1" applyAlignment="1">
      <alignment horizontal="right" vertical="center"/>
    </xf>
    <xf numFmtId="0" fontId="68" fillId="0" borderId="36" xfId="9" applyFont="1" applyBorder="1" applyAlignment="1">
      <alignment horizontal="center" vertical="center"/>
    </xf>
    <xf numFmtId="4" fontId="69" fillId="23" borderId="36" xfId="9" applyNumberFormat="1" applyFont="1" applyFill="1" applyBorder="1" applyAlignment="1">
      <alignment horizontal="right" vertical="center"/>
    </xf>
    <xf numFmtId="4" fontId="63" fillId="23" borderId="36" xfId="9" applyNumberFormat="1" applyFont="1" applyFill="1" applyBorder="1" applyAlignment="1">
      <alignment horizontal="right" vertical="center"/>
    </xf>
    <xf numFmtId="0" fontId="63" fillId="23" borderId="36" xfId="9" applyFont="1" applyFill="1" applyBorder="1" applyAlignment="1">
      <alignment horizontal="right" vertical="center"/>
    </xf>
    <xf numFmtId="0" fontId="71" fillId="0" borderId="36" xfId="9" applyFont="1" applyBorder="1" applyAlignment="1">
      <alignment horizontal="right" vertical="center"/>
    </xf>
    <xf numFmtId="2" fontId="68" fillId="18" borderId="36" xfId="9" applyNumberFormat="1" applyFont="1" applyFill="1" applyBorder="1" applyAlignment="1">
      <alignment horizontal="right" vertical="center"/>
    </xf>
    <xf numFmtId="2" fontId="68" fillId="17" borderId="36" xfId="9" applyNumberFormat="1" applyFont="1" applyFill="1" applyBorder="1" applyAlignment="1">
      <alignment horizontal="right" vertical="center"/>
    </xf>
    <xf numFmtId="0" fontId="68" fillId="0" borderId="40" xfId="9" applyFont="1" applyBorder="1" applyAlignment="1">
      <alignment horizontal="center" vertical="center"/>
    </xf>
    <xf numFmtId="4" fontId="69" fillId="23" borderId="41" xfId="9" applyNumberFormat="1" applyFont="1" applyFill="1" applyBorder="1" applyAlignment="1">
      <alignment horizontal="right" vertical="center"/>
    </xf>
    <xf numFmtId="4" fontId="63" fillId="23" borderId="41" xfId="9" applyNumberFormat="1" applyFont="1" applyFill="1" applyBorder="1" applyAlignment="1">
      <alignment horizontal="right" vertical="center"/>
    </xf>
    <xf numFmtId="0" fontId="63" fillId="23" borderId="41" xfId="9" applyFont="1" applyFill="1" applyBorder="1" applyAlignment="1">
      <alignment horizontal="right" vertical="center"/>
    </xf>
    <xf numFmtId="0" fontId="71" fillId="0" borderId="40" xfId="9" applyFont="1" applyBorder="1" applyAlignment="1">
      <alignment horizontal="right" vertical="center"/>
    </xf>
    <xf numFmtId="2" fontId="68" fillId="18" borderId="41" xfId="9" applyNumberFormat="1" applyFont="1" applyFill="1" applyBorder="1" applyAlignment="1">
      <alignment horizontal="right" vertical="center"/>
    </xf>
    <xf numFmtId="10" fontId="74" fillId="10" borderId="43" xfId="9" applyNumberFormat="1" applyFont="1" applyFill="1" applyBorder="1" applyAlignment="1">
      <alignment horizontal="right" vertical="center"/>
    </xf>
    <xf numFmtId="10" fontId="74" fillId="10" borderId="44" xfId="9" applyNumberFormat="1" applyFont="1" applyFill="1" applyBorder="1" applyAlignment="1">
      <alignment horizontal="right" vertical="center"/>
    </xf>
    <xf numFmtId="0" fontId="62" fillId="0" borderId="31" xfId="9" applyFont="1" applyAlignment="1">
      <alignment vertical="center"/>
    </xf>
    <xf numFmtId="0" fontId="68" fillId="0" borderId="42" xfId="9" applyFont="1" applyBorder="1" applyAlignment="1">
      <alignment horizontal="center" vertical="center"/>
    </xf>
    <xf numFmtId="0" fontId="66" fillId="28" borderId="40" xfId="9" applyFont="1" applyFill="1" applyBorder="1" applyAlignment="1">
      <alignment vertical="center"/>
    </xf>
    <xf numFmtId="0" fontId="67" fillId="28" borderId="36" xfId="9" applyFont="1" applyFill="1" applyBorder="1" applyAlignment="1">
      <alignment horizontal="center" vertical="center"/>
    </xf>
    <xf numFmtId="0" fontId="67" fillId="28" borderId="36" xfId="9" applyFont="1" applyFill="1" applyBorder="1" applyAlignment="1">
      <alignment horizontal="right" vertical="center"/>
    </xf>
    <xf numFmtId="0" fontId="67" fillId="28" borderId="41" xfId="9" applyFont="1" applyFill="1" applyBorder="1" applyAlignment="1">
      <alignment horizontal="right" vertical="center"/>
    </xf>
    <xf numFmtId="171" fontId="63" fillId="23" borderId="36" xfId="9" applyNumberFormat="1" applyFont="1" applyFill="1" applyBorder="1" applyAlignment="1">
      <alignment horizontal="left" vertical="center"/>
    </xf>
    <xf numFmtId="171" fontId="63" fillId="23" borderId="36" xfId="9" applyNumberFormat="1" applyFont="1" applyFill="1" applyBorder="1" applyAlignment="1">
      <alignment horizontal="right" vertical="center"/>
    </xf>
    <xf numFmtId="171" fontId="63" fillId="23" borderId="41" xfId="9" applyNumberFormat="1" applyFont="1" applyFill="1" applyBorder="1" applyAlignment="1">
      <alignment horizontal="right" vertical="center"/>
    </xf>
    <xf numFmtId="171" fontId="70" fillId="23" borderId="36" xfId="9" applyNumberFormat="1" applyFont="1" applyFill="1" applyBorder="1" applyAlignment="1">
      <alignment horizontal="left" vertical="center"/>
    </xf>
    <xf numFmtId="171" fontId="70" fillId="23" borderId="36" xfId="9" applyNumberFormat="1" applyFont="1" applyFill="1" applyBorder="1" applyAlignment="1">
      <alignment horizontal="right" vertical="center"/>
    </xf>
    <xf numFmtId="171" fontId="70" fillId="23" borderId="41" xfId="9" applyNumberFormat="1" applyFont="1" applyFill="1" applyBorder="1" applyAlignment="1">
      <alignment horizontal="right" vertical="center"/>
    </xf>
    <xf numFmtId="171" fontId="63" fillId="23" borderId="43" xfId="9" applyNumberFormat="1" applyFont="1" applyFill="1" applyBorder="1" applyAlignment="1">
      <alignment horizontal="left" vertical="center"/>
    </xf>
    <xf numFmtId="171" fontId="63" fillId="23" borderId="43" xfId="9" applyNumberFormat="1" applyFont="1" applyFill="1" applyBorder="1" applyAlignment="1">
      <alignment horizontal="right" vertical="center"/>
    </xf>
    <xf numFmtId="171" fontId="63" fillId="23" borderId="44" xfId="9" applyNumberFormat="1" applyFont="1" applyFill="1" applyBorder="1" applyAlignment="1">
      <alignment horizontal="right" vertical="center"/>
    </xf>
    <xf numFmtId="0" fontId="43" fillId="0" borderId="0" xfId="0" applyFont="1" applyAlignment="1">
      <alignment horizontal="center" vertical="center"/>
    </xf>
    <xf numFmtId="0" fontId="57" fillId="0" borderId="31" xfId="3" applyFont="1" applyAlignment="1">
      <alignment horizontal="center" vertical="center"/>
    </xf>
    <xf numFmtId="172" fontId="54" fillId="16" borderId="63" xfId="4" applyNumberFormat="1" applyFont="1" applyFill="1" applyBorder="1" applyAlignment="1">
      <alignment horizontal="center" vertical="center"/>
    </xf>
    <xf numFmtId="172" fontId="54" fillId="16" borderId="64" xfId="4" applyNumberFormat="1" applyFont="1" applyFill="1" applyBorder="1" applyAlignment="1">
      <alignment horizontal="center" vertical="center"/>
    </xf>
    <xf numFmtId="0" fontId="79" fillId="16" borderId="36" xfId="7" applyNumberFormat="1" applyFont="1" applyFill="1" applyBorder="1" applyAlignment="1">
      <alignment horizontal="center" vertical="center"/>
    </xf>
    <xf numFmtId="172" fontId="52" fillId="20" borderId="36" xfId="4" applyNumberFormat="1" applyFont="1" applyFill="1" applyBorder="1" applyAlignment="1">
      <alignment horizontal="center" vertical="center" wrapText="1"/>
    </xf>
    <xf numFmtId="0" fontId="84" fillId="21" borderId="0" xfId="0" applyFont="1" applyFill="1" applyAlignment="1">
      <alignment horizontal="center" vertical="center" wrapText="1"/>
    </xf>
    <xf numFmtId="0" fontId="84" fillId="21" borderId="65" xfId="0" applyFont="1" applyFill="1" applyBorder="1" applyAlignment="1">
      <alignment horizontal="center" vertical="center" wrapText="1"/>
    </xf>
    <xf numFmtId="0" fontId="84" fillId="27" borderId="67" xfId="0" applyFont="1" applyFill="1" applyBorder="1" applyAlignment="1">
      <alignment horizontal="right" vertical="center" wrapText="1"/>
    </xf>
    <xf numFmtId="0" fontId="84" fillId="27" borderId="0" xfId="0" applyFont="1" applyFill="1" applyAlignment="1">
      <alignment horizontal="right" vertical="center" wrapText="1"/>
    </xf>
    <xf numFmtId="0" fontId="84" fillId="25" borderId="67" xfId="0" applyFont="1" applyFill="1" applyBorder="1" applyAlignment="1">
      <alignment horizontal="right" vertical="center" wrapText="1"/>
    </xf>
    <xf numFmtId="0" fontId="84" fillId="25" borderId="0" xfId="0" applyFont="1" applyFill="1" applyAlignment="1">
      <alignment horizontal="right" vertical="center" wrapText="1"/>
    </xf>
    <xf numFmtId="0" fontId="68" fillId="0" borderId="36" xfId="9" applyFont="1" applyBorder="1" applyAlignment="1">
      <alignment horizontal="center" vertical="center"/>
    </xf>
    <xf numFmtId="0" fontId="65" fillId="0" borderId="36" xfId="9" applyFont="1" applyBorder="1" applyAlignment="1">
      <alignment vertical="center"/>
    </xf>
    <xf numFmtId="0" fontId="71" fillId="0" borderId="36" xfId="9" applyFont="1" applyBorder="1" applyAlignment="1">
      <alignment horizontal="center" vertical="center"/>
    </xf>
    <xf numFmtId="0" fontId="71" fillId="10" borderId="42" xfId="9" applyFont="1" applyFill="1" applyBorder="1" applyAlignment="1">
      <alignment horizontal="right" vertical="center"/>
    </xf>
    <xf numFmtId="0" fontId="65" fillId="0" borderId="43" xfId="9" applyFont="1" applyBorder="1" applyAlignment="1">
      <alignment vertical="center"/>
    </xf>
    <xf numFmtId="0" fontId="82" fillId="24" borderId="0" xfId="0" applyFont="1" applyFill="1" applyAlignment="1">
      <alignment horizontal="center" vertical="center" wrapText="1"/>
    </xf>
    <xf numFmtId="0" fontId="82" fillId="24" borderId="65" xfId="0" applyFont="1" applyFill="1" applyBorder="1" applyAlignment="1">
      <alignment horizontal="center" vertical="center" wrapText="1"/>
    </xf>
    <xf numFmtId="0" fontId="68" fillId="0" borderId="63" xfId="9" applyFont="1" applyBorder="1" applyAlignment="1">
      <alignment horizontal="center" vertical="center"/>
    </xf>
    <xf numFmtId="0" fontId="68" fillId="0" borderId="64" xfId="9" applyFont="1" applyBorder="1" applyAlignment="1">
      <alignment horizontal="center" vertical="center"/>
    </xf>
    <xf numFmtId="172" fontId="22" fillId="16" borderId="37" xfId="4" applyNumberFormat="1" applyFont="1" applyFill="1" applyBorder="1" applyAlignment="1">
      <alignment horizontal="center" vertical="center"/>
    </xf>
    <xf numFmtId="172" fontId="22" fillId="16" borderId="38" xfId="4" applyNumberFormat="1" applyFont="1" applyFill="1" applyBorder="1" applyAlignment="1">
      <alignment horizontal="center" vertical="center"/>
    </xf>
    <xf numFmtId="0" fontId="83" fillId="21" borderId="0" xfId="0" applyFont="1" applyFill="1" applyAlignment="1">
      <alignment horizontal="center" vertical="center" wrapText="1"/>
    </xf>
    <xf numFmtId="0" fontId="83" fillId="21" borderId="65" xfId="0" applyFont="1" applyFill="1" applyBorder="1" applyAlignment="1">
      <alignment horizontal="center" vertical="center" wrapText="1"/>
    </xf>
    <xf numFmtId="0" fontId="53" fillId="25" borderId="67" xfId="0" applyFont="1" applyFill="1" applyBorder="1" applyAlignment="1">
      <alignment horizontal="right" vertical="center" wrapText="1"/>
    </xf>
    <xf numFmtId="0" fontId="53" fillId="25" borderId="0" xfId="0" applyFont="1" applyFill="1" applyAlignment="1">
      <alignment horizontal="right" vertical="center" wrapText="1"/>
    </xf>
    <xf numFmtId="0" fontId="53" fillId="26" borderId="67" xfId="0" applyFont="1" applyFill="1" applyBorder="1" applyAlignment="1">
      <alignment horizontal="right" vertical="center" wrapText="1"/>
    </xf>
    <xf numFmtId="0" fontId="53" fillId="26" borderId="0" xfId="0" applyFont="1" applyFill="1" applyAlignment="1">
      <alignment horizontal="right" vertical="center" wrapText="1"/>
    </xf>
    <xf numFmtId="0" fontId="53" fillId="27" borderId="67" xfId="0" applyFont="1" applyFill="1" applyBorder="1" applyAlignment="1">
      <alignment horizontal="right" vertical="center" wrapText="1"/>
    </xf>
    <xf numFmtId="0" fontId="53" fillId="27" borderId="0" xfId="0" applyFont="1" applyFill="1" applyAlignment="1">
      <alignment horizontal="right" vertical="center" wrapText="1"/>
    </xf>
    <xf numFmtId="0" fontId="46" fillId="0" borderId="40" xfId="9" applyFont="1" applyBorder="1" applyAlignment="1">
      <alignment horizontal="center" vertical="center"/>
    </xf>
    <xf numFmtId="0" fontId="49" fillId="0" borderId="36" xfId="9" applyFont="1" applyBorder="1" applyAlignment="1">
      <alignment vertical="center"/>
    </xf>
    <xf numFmtId="0" fontId="28" fillId="10" borderId="42" xfId="9" applyFont="1" applyFill="1" applyBorder="1" applyAlignment="1">
      <alignment horizontal="center" vertical="center"/>
    </xf>
    <xf numFmtId="0" fontId="49" fillId="0" borderId="43" xfId="9" applyFont="1" applyBorder="1" applyAlignment="1">
      <alignment vertical="center"/>
    </xf>
    <xf numFmtId="0" fontId="32" fillId="0" borderId="36" xfId="9" applyFont="1" applyBorder="1" applyAlignment="1">
      <alignment horizontal="center" vertical="center"/>
    </xf>
    <xf numFmtId="0" fontId="51" fillId="0" borderId="36" xfId="9" applyFont="1" applyBorder="1" applyAlignment="1">
      <alignment vertical="center"/>
    </xf>
    <xf numFmtId="0" fontId="32" fillId="0" borderId="43" xfId="9" applyFont="1" applyBorder="1" applyAlignment="1">
      <alignment horizontal="center" vertical="center"/>
    </xf>
    <xf numFmtId="0" fontId="51" fillId="0" borderId="43" xfId="9" applyFont="1" applyBorder="1" applyAlignment="1">
      <alignment vertical="center"/>
    </xf>
    <xf numFmtId="172" fontId="22" fillId="16" borderId="39" xfId="4" applyNumberFormat="1" applyFont="1" applyFill="1" applyBorder="1" applyAlignment="1">
      <alignment horizontal="center" vertical="center"/>
    </xf>
    <xf numFmtId="0" fontId="52" fillId="0" borderId="40" xfId="0" applyFont="1" applyBorder="1" applyAlignment="1">
      <alignment horizontal="center" vertical="center"/>
    </xf>
    <xf numFmtId="0" fontId="52" fillId="0" borderId="36" xfId="0" applyFont="1" applyBorder="1" applyAlignment="1">
      <alignment horizontal="center" vertical="center"/>
    </xf>
    <xf numFmtId="0" fontId="75" fillId="0" borderId="36" xfId="9" applyFont="1" applyBorder="1" applyAlignment="1">
      <alignment vertical="center"/>
    </xf>
    <xf numFmtId="0" fontId="75" fillId="0" borderId="43" xfId="9" applyFont="1" applyBorder="1" applyAlignment="1">
      <alignment vertical="center"/>
    </xf>
    <xf numFmtId="0" fontId="80" fillId="16" borderId="36" xfId="7" applyNumberFormat="1" applyFont="1" applyFill="1" applyBorder="1" applyAlignment="1">
      <alignment horizontal="center" vertical="center"/>
    </xf>
    <xf numFmtId="0" fontId="85" fillId="0" borderId="36" xfId="9" applyFont="1" applyBorder="1" applyAlignment="1">
      <alignment horizontal="center" vertical="center"/>
    </xf>
    <xf numFmtId="3" fontId="51" fillId="0" borderId="36" xfId="5" applyNumberFormat="1" applyFont="1" applyBorder="1" applyAlignment="1">
      <alignment horizontal="center" vertical="center" wrapText="1"/>
    </xf>
    <xf numFmtId="3" fontId="51" fillId="0" borderId="43" xfId="5" applyNumberFormat="1" applyFont="1" applyBorder="1" applyAlignment="1">
      <alignment horizontal="center" vertical="center" wrapText="1"/>
    </xf>
    <xf numFmtId="172" fontId="22" fillId="16" borderId="45" xfId="4" applyNumberFormat="1" applyFont="1" applyFill="1" applyBorder="1" applyAlignment="1">
      <alignment horizontal="center" vertical="center"/>
    </xf>
    <xf numFmtId="172" fontId="22" fillId="16" borderId="46" xfId="4" applyNumberFormat="1" applyFont="1" applyFill="1" applyBorder="1" applyAlignment="1">
      <alignment horizontal="center" vertical="center"/>
    </xf>
    <xf numFmtId="172" fontId="22" fillId="16" borderId="47" xfId="4" applyNumberFormat="1" applyFont="1" applyFill="1" applyBorder="1" applyAlignment="1">
      <alignment horizontal="center" vertical="center"/>
    </xf>
    <xf numFmtId="172" fontId="24" fillId="16" borderId="36" xfId="4" applyNumberFormat="1" applyFont="1" applyFill="1" applyBorder="1" applyAlignment="1">
      <alignment horizontal="center" vertical="center" wrapText="1"/>
    </xf>
    <xf numFmtId="172" fontId="22" fillId="16" borderId="37" xfId="4" applyNumberFormat="1" applyFont="1" applyFill="1" applyBorder="1" applyAlignment="1">
      <alignment horizontal="center" vertical="center" wrapText="1"/>
    </xf>
    <xf numFmtId="172" fontId="22" fillId="16" borderId="38" xfId="4" applyNumberFormat="1" applyFont="1" applyFill="1" applyBorder="1" applyAlignment="1">
      <alignment horizontal="center" vertical="center" wrapText="1"/>
    </xf>
    <xf numFmtId="172" fontId="22" fillId="16" borderId="39" xfId="4" applyNumberFormat="1" applyFont="1" applyFill="1" applyBorder="1" applyAlignment="1">
      <alignment horizontal="center" vertical="center" wrapText="1"/>
    </xf>
    <xf numFmtId="3" fontId="24" fillId="16" borderId="36" xfId="5" applyNumberFormat="1" applyFont="1" applyFill="1" applyBorder="1" applyAlignment="1">
      <alignment horizontal="center" vertical="center" wrapText="1"/>
    </xf>
    <xf numFmtId="0" fontId="63" fillId="0" borderId="48" xfId="9" applyFont="1" applyBorder="1" applyAlignment="1">
      <alignment horizontal="center" vertical="center"/>
    </xf>
    <xf numFmtId="0" fontId="65" fillId="0" borderId="59" xfId="9" applyFont="1" applyBorder="1" applyAlignment="1">
      <alignment vertical="center"/>
    </xf>
    <xf numFmtId="172" fontId="33" fillId="20" borderId="36" xfId="4" applyNumberFormat="1" applyFont="1" applyFill="1" applyBorder="1" applyAlignment="1">
      <alignment horizontal="center" vertical="center" wrapText="1"/>
    </xf>
    <xf numFmtId="0" fontId="65" fillId="0" borderId="48" xfId="9" applyFont="1" applyBorder="1" applyAlignment="1">
      <alignment vertical="center"/>
    </xf>
    <xf numFmtId="172" fontId="54" fillId="16" borderId="36" xfId="4" applyNumberFormat="1" applyFont="1" applyFill="1" applyBorder="1" applyAlignment="1">
      <alignment horizontal="center" vertical="center"/>
    </xf>
    <xf numFmtId="0" fontId="22" fillId="16" borderId="37" xfId="7" applyNumberFormat="1" applyFont="1" applyFill="1" applyBorder="1" applyAlignment="1">
      <alignment horizontal="center" vertical="center"/>
    </xf>
    <xf numFmtId="0" fontId="22" fillId="16" borderId="38" xfId="7" applyNumberFormat="1" applyFont="1" applyFill="1" applyBorder="1" applyAlignment="1">
      <alignment horizontal="center" vertical="center"/>
    </xf>
    <xf numFmtId="0" fontId="22" fillId="16" borderId="39" xfId="7" applyNumberFormat="1" applyFont="1" applyFill="1" applyBorder="1" applyAlignment="1">
      <alignment horizontal="center" vertical="center"/>
    </xf>
    <xf numFmtId="0" fontId="69" fillId="0" borderId="36" xfId="9" applyFont="1" applyBorder="1" applyAlignment="1">
      <alignment horizontal="center" vertical="center"/>
    </xf>
    <xf numFmtId="0" fontId="69" fillId="0" borderId="43" xfId="9" applyFont="1" applyBorder="1" applyAlignment="1">
      <alignment horizontal="center" vertical="center"/>
    </xf>
    <xf numFmtId="172" fontId="24" fillId="16" borderId="37" xfId="4" applyNumberFormat="1" applyFont="1" applyFill="1" applyBorder="1" applyAlignment="1">
      <alignment horizontal="center" vertical="center"/>
    </xf>
    <xf numFmtId="172" fontId="24" fillId="16" borderId="38" xfId="4" applyNumberFormat="1" applyFont="1" applyFill="1" applyBorder="1" applyAlignment="1">
      <alignment horizontal="center" vertical="center"/>
    </xf>
    <xf numFmtId="172" fontId="24" fillId="16" borderId="39" xfId="4" applyNumberFormat="1" applyFont="1" applyFill="1" applyBorder="1" applyAlignment="1">
      <alignment horizontal="center" vertical="center"/>
    </xf>
    <xf numFmtId="3" fontId="48" fillId="16" borderId="36" xfId="5" applyNumberFormat="1" applyFont="1" applyFill="1" applyBorder="1" applyAlignment="1">
      <alignment horizontal="center" vertical="center"/>
    </xf>
    <xf numFmtId="0" fontId="64" fillId="28" borderId="37" xfId="9" applyFont="1" applyFill="1" applyBorder="1" applyAlignment="1">
      <alignment horizontal="center" vertical="center"/>
    </xf>
    <xf numFmtId="0" fontId="64" fillId="28" borderId="38" xfId="9" applyFont="1" applyFill="1" applyBorder="1" applyAlignment="1">
      <alignment horizontal="center" vertical="center"/>
    </xf>
    <xf numFmtId="0" fontId="64" fillId="28" borderId="39" xfId="9" applyFont="1" applyFill="1" applyBorder="1" applyAlignment="1">
      <alignment horizontal="center" vertical="center"/>
    </xf>
    <xf numFmtId="0" fontId="66" fillId="28" borderId="36" xfId="9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left" vertical="top" wrapText="1"/>
    </xf>
    <xf numFmtId="0" fontId="5" fillId="0" borderId="22" xfId="0" applyFont="1" applyBorder="1"/>
    <xf numFmtId="0" fontId="3" fillId="5" borderId="21" xfId="0" applyFont="1" applyFill="1" applyBorder="1"/>
    <xf numFmtId="0" fontId="5" fillId="0" borderId="23" xfId="0" applyFont="1" applyBorder="1"/>
    <xf numFmtId="0" fontId="3" fillId="5" borderId="27" xfId="0" applyFont="1" applyFill="1" applyBorder="1"/>
    <xf numFmtId="0" fontId="5" fillId="0" borderId="28" xfId="0" applyFont="1" applyBorder="1"/>
    <xf numFmtId="0" fontId="5" fillId="0" borderId="29" xfId="0" applyFont="1" applyBorder="1"/>
    <xf numFmtId="0" fontId="13" fillId="5" borderId="16" xfId="0" applyFont="1" applyFill="1" applyBorder="1" applyAlignment="1">
      <alignment horizontal="right" vertical="top" wrapText="1"/>
    </xf>
    <xf numFmtId="0" fontId="5" fillId="0" borderId="30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31" xfId="0" applyFont="1" applyBorder="1"/>
    <xf numFmtId="0" fontId="5" fillId="0" borderId="19" xfId="0" applyFont="1" applyBorder="1"/>
    <xf numFmtId="0" fontId="3" fillId="2" borderId="26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3" fillId="2" borderId="2" xfId="0" applyFont="1" applyFill="1" applyBorder="1"/>
    <xf numFmtId="0" fontId="8" fillId="4" borderId="2" xfId="0" applyFont="1" applyFill="1" applyBorder="1" applyAlignment="1">
      <alignment horizontal="left" vertical="top" wrapText="1"/>
    </xf>
    <xf numFmtId="0" fontId="7" fillId="5" borderId="26" xfId="0" applyFont="1" applyFill="1" applyBorder="1" applyAlignment="1">
      <alignment horizontal="left" vertical="top" wrapText="1"/>
    </xf>
    <xf numFmtId="0" fontId="3" fillId="2" borderId="21" xfId="0" applyFont="1" applyFill="1" applyBorder="1"/>
    <xf numFmtId="0" fontId="8" fillId="6" borderId="2" xfId="0" applyFont="1" applyFill="1" applyBorder="1" applyAlignment="1">
      <alignment horizontal="center" vertical="top" wrapText="1"/>
    </xf>
    <xf numFmtId="0" fontId="6" fillId="5" borderId="21" xfId="0" applyFont="1" applyFill="1" applyBorder="1" applyAlignment="1">
      <alignment horizontal="right" vertical="top" wrapText="1"/>
    </xf>
    <xf numFmtId="0" fontId="7" fillId="3" borderId="13" xfId="0" applyFont="1" applyFill="1" applyBorder="1" applyAlignment="1">
      <alignment horizontal="left" vertical="top"/>
    </xf>
    <xf numFmtId="0" fontId="5" fillId="0" borderId="14" xfId="0" applyFont="1" applyBorder="1"/>
    <xf numFmtId="0" fontId="5" fillId="0" borderId="15" xfId="0" applyFont="1" applyBorder="1"/>
    <xf numFmtId="0" fontId="7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3" fillId="6" borderId="2" xfId="0" applyFont="1" applyFill="1" applyBorder="1"/>
    <xf numFmtId="0" fontId="14" fillId="2" borderId="26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right" vertical="top" wrapText="1"/>
    </xf>
    <xf numFmtId="0" fontId="6" fillId="2" borderId="21" xfId="0" applyFont="1" applyFill="1" applyBorder="1" applyAlignment="1">
      <alignment horizontal="left" vertical="top" wrapText="1"/>
    </xf>
    <xf numFmtId="0" fontId="3" fillId="2" borderId="27" xfId="0" applyFont="1" applyFill="1" applyBorder="1"/>
    <xf numFmtId="0" fontId="6" fillId="2" borderId="21" xfId="0" applyFont="1" applyFill="1" applyBorder="1" applyAlignment="1">
      <alignment horizontal="right" vertical="top" wrapText="1"/>
    </xf>
    <xf numFmtId="0" fontId="13" fillId="5" borderId="2" xfId="0" applyFont="1" applyFill="1" applyBorder="1" applyAlignment="1">
      <alignment horizontal="right" vertical="top" wrapText="1"/>
    </xf>
    <xf numFmtId="0" fontId="7" fillId="2" borderId="21" xfId="0" applyFont="1" applyFill="1" applyBorder="1" applyAlignment="1">
      <alignment horizontal="left" vertical="top" wrapText="1"/>
    </xf>
    <xf numFmtId="3" fontId="6" fillId="2" borderId="21" xfId="0" applyNumberFormat="1" applyFont="1" applyFill="1" applyBorder="1" applyAlignment="1">
      <alignment horizontal="left" vertical="top"/>
    </xf>
    <xf numFmtId="0" fontId="3" fillId="2" borderId="16" xfId="0" applyFont="1" applyFill="1" applyBorder="1"/>
    <xf numFmtId="0" fontId="10" fillId="2" borderId="2" xfId="0" applyFont="1" applyFill="1" applyBorder="1" applyAlignment="1">
      <alignment horizontal="left" vertical="top" wrapText="1"/>
    </xf>
    <xf numFmtId="0" fontId="5" fillId="0" borderId="20" xfId="0" applyFont="1" applyBorder="1"/>
    <xf numFmtId="0" fontId="4" fillId="2" borderId="2" xfId="0" applyFont="1" applyFill="1" applyBorder="1" applyAlignment="1">
      <alignment horizontal="left" vertical="center" wrapText="1"/>
    </xf>
    <xf numFmtId="0" fontId="3" fillId="2" borderId="6" xfId="0" applyFont="1" applyFill="1" applyBorder="1"/>
    <xf numFmtId="0" fontId="5" fillId="0" borderId="7" xfId="0" applyFont="1" applyBorder="1"/>
    <xf numFmtId="0" fontId="6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41" fillId="0" borderId="0" xfId="0" applyFont="1" applyAlignment="1">
      <alignment horizontal="center" vertical="center"/>
    </xf>
    <xf numFmtId="0" fontId="39" fillId="9" borderId="37" xfId="0" applyFont="1" applyFill="1" applyBorder="1" applyAlignment="1">
      <alignment horizontal="center" vertical="center"/>
    </xf>
    <xf numFmtId="0" fontId="39" fillId="9" borderId="38" xfId="0" applyFont="1" applyFill="1" applyBorder="1" applyAlignment="1">
      <alignment horizontal="center" vertical="center"/>
    </xf>
    <xf numFmtId="0" fontId="39" fillId="9" borderId="39" xfId="0" applyFont="1" applyFill="1" applyBorder="1" applyAlignment="1">
      <alignment horizontal="center" vertical="center"/>
    </xf>
    <xf numFmtId="0" fontId="22" fillId="9" borderId="45" xfId="0" applyFont="1" applyFill="1" applyBorder="1" applyAlignment="1">
      <alignment horizontal="center" vertical="center"/>
    </xf>
    <xf numFmtId="0" fontId="22" fillId="9" borderId="46" xfId="0" applyFont="1" applyFill="1" applyBorder="1" applyAlignment="1">
      <alignment horizontal="center" vertical="center"/>
    </xf>
    <xf numFmtId="0" fontId="22" fillId="9" borderId="47" xfId="0" applyFont="1" applyFill="1" applyBorder="1" applyAlignment="1">
      <alignment horizontal="center" vertical="center"/>
    </xf>
    <xf numFmtId="0" fontId="22" fillId="9" borderId="37" xfId="0" applyFont="1" applyFill="1" applyBorder="1" applyAlignment="1">
      <alignment horizontal="center" vertical="center"/>
    </xf>
    <xf numFmtId="0" fontId="22" fillId="9" borderId="38" xfId="0" applyFont="1" applyFill="1" applyBorder="1" applyAlignment="1">
      <alignment horizontal="center" vertical="center"/>
    </xf>
    <xf numFmtId="0" fontId="22" fillId="9" borderId="39" xfId="0" applyFont="1" applyFill="1" applyBorder="1" applyAlignment="1">
      <alignment horizontal="center" vertical="center"/>
    </xf>
    <xf numFmtId="0" fontId="36" fillId="9" borderId="37" xfId="0" applyFont="1" applyFill="1" applyBorder="1" applyAlignment="1">
      <alignment horizontal="center" vertical="center"/>
    </xf>
    <xf numFmtId="0" fontId="36" fillId="9" borderId="38" xfId="0" applyFont="1" applyFill="1" applyBorder="1" applyAlignment="1">
      <alignment horizontal="center" vertical="center"/>
    </xf>
    <xf numFmtId="0" fontId="36" fillId="9" borderId="39" xfId="0" applyFont="1" applyFill="1" applyBorder="1" applyAlignment="1">
      <alignment horizontal="center" vertical="center"/>
    </xf>
    <xf numFmtId="0" fontId="40" fillId="9" borderId="37" xfId="0" applyFont="1" applyFill="1" applyBorder="1" applyAlignment="1">
      <alignment horizontal="center" vertical="center"/>
    </xf>
    <xf numFmtId="0" fontId="40" fillId="9" borderId="38" xfId="0" applyFont="1" applyFill="1" applyBorder="1" applyAlignment="1">
      <alignment horizontal="center" vertical="center"/>
    </xf>
    <xf numFmtId="0" fontId="40" fillId="9" borderId="39" xfId="0" applyFont="1" applyFill="1" applyBorder="1" applyAlignment="1">
      <alignment horizontal="center" vertical="center"/>
    </xf>
    <xf numFmtId="0" fontId="5" fillId="0" borderId="38" xfId="0" applyFont="1" applyBorder="1"/>
    <xf numFmtId="0" fontId="23" fillId="9" borderId="37" xfId="0" applyFont="1" applyFill="1" applyBorder="1" applyAlignment="1">
      <alignment horizontal="center" vertical="center"/>
    </xf>
    <xf numFmtId="0" fontId="23" fillId="9" borderId="38" xfId="0" applyFont="1" applyFill="1" applyBorder="1" applyAlignment="1">
      <alignment horizontal="center" vertical="center"/>
    </xf>
    <xf numFmtId="0" fontId="23" fillId="9" borderId="39" xfId="0" applyFont="1" applyFill="1" applyBorder="1" applyAlignment="1">
      <alignment horizontal="center" vertical="center"/>
    </xf>
    <xf numFmtId="0" fontId="57" fillId="0" borderId="31" xfId="9" applyFont="1" applyAlignment="1">
      <alignment horizontal="center" vertical="center"/>
    </xf>
    <xf numFmtId="0" fontId="22" fillId="9" borderId="33" xfId="9" applyFont="1" applyFill="1" applyBorder="1" applyAlignment="1">
      <alignment horizontal="center" vertical="center"/>
    </xf>
    <xf numFmtId="0" fontId="5" fillId="0" borderId="49" xfId="9" applyFont="1" applyBorder="1"/>
    <xf numFmtId="0" fontId="5" fillId="0" borderId="50" xfId="9" applyFont="1" applyBorder="1"/>
    <xf numFmtId="0" fontId="39" fillId="9" borderId="36" xfId="9" applyFont="1" applyFill="1" applyBorder="1" applyAlignment="1">
      <alignment horizontal="center" vertical="center"/>
    </xf>
    <xf numFmtId="0" fontId="49" fillId="0" borderId="36" xfId="9" applyFont="1" applyBorder="1"/>
    <xf numFmtId="0" fontId="70" fillId="2" borderId="23" xfId="0" applyFont="1" applyFill="1" applyBorder="1"/>
    <xf numFmtId="0" fontId="87" fillId="2" borderId="23" xfId="0" applyFont="1" applyFill="1" applyBorder="1" applyAlignment="1">
      <alignment horizontal="left" vertical="center" wrapText="1"/>
    </xf>
    <xf numFmtId="0" fontId="65" fillId="0" borderId="31" xfId="0" applyFont="1" applyBorder="1"/>
    <xf numFmtId="0" fontId="70" fillId="2" borderId="31" xfId="0" applyFont="1" applyFill="1" applyBorder="1"/>
    <xf numFmtId="0" fontId="70" fillId="2" borderId="8" xfId="0" applyFont="1" applyFill="1" applyBorder="1"/>
    <xf numFmtId="0" fontId="65" fillId="0" borderId="7" xfId="0" applyFont="1" applyBorder="1"/>
    <xf numFmtId="0" fontId="88" fillId="2" borderId="8" xfId="0" applyFont="1" applyFill="1" applyBorder="1" applyAlignment="1">
      <alignment horizontal="left" vertical="top" wrapText="1"/>
    </xf>
    <xf numFmtId="0" fontId="89" fillId="2" borderId="23" xfId="0" applyFont="1" applyFill="1" applyBorder="1" applyAlignment="1">
      <alignment horizontal="left" vertical="top" wrapText="1"/>
    </xf>
    <xf numFmtId="0" fontId="88" fillId="2" borderId="9" xfId="0" applyFont="1" applyFill="1" applyBorder="1" applyAlignment="1">
      <alignment horizontal="left" vertical="top" wrapText="1"/>
    </xf>
    <xf numFmtId="0" fontId="70" fillId="2" borderId="8" xfId="0" applyFont="1" applyFill="1" applyBorder="1"/>
    <xf numFmtId="0" fontId="70" fillId="2" borderId="23" xfId="0" applyFont="1" applyFill="1" applyBorder="1"/>
    <xf numFmtId="0" fontId="88" fillId="2" borderId="8" xfId="0" applyFont="1" applyFill="1" applyBorder="1" applyAlignment="1">
      <alignment horizontal="left" vertical="top" wrapText="1"/>
    </xf>
    <xf numFmtId="0" fontId="70" fillId="2" borderId="10" xfId="0" applyFont="1" applyFill="1" applyBorder="1"/>
    <xf numFmtId="0" fontId="65" fillId="0" borderId="11" xfId="0" applyFont="1" applyBorder="1"/>
    <xf numFmtId="0" fontId="65" fillId="0" borderId="12" xfId="0" applyFont="1" applyBorder="1"/>
    <xf numFmtId="0" fontId="89" fillId="3" borderId="32" xfId="0" applyFont="1" applyFill="1" applyBorder="1" applyAlignment="1">
      <alignment horizontal="left" vertical="top"/>
    </xf>
    <xf numFmtId="0" fontId="65" fillId="0" borderId="15" xfId="0" applyFont="1" applyBorder="1"/>
    <xf numFmtId="0" fontId="90" fillId="4" borderId="23" xfId="0" applyFont="1" applyFill="1" applyBorder="1" applyAlignment="1">
      <alignment horizontal="left" vertical="top" wrapText="1"/>
    </xf>
    <xf numFmtId="0" fontId="88" fillId="2" borderId="23" xfId="0" applyFont="1" applyFill="1" applyBorder="1" applyAlignment="1">
      <alignment horizontal="left" vertical="top" wrapText="1"/>
    </xf>
    <xf numFmtId="0" fontId="91" fillId="2" borderId="23" xfId="0" applyFont="1" applyFill="1" applyBorder="1" applyAlignment="1">
      <alignment horizontal="left" vertical="top" wrapText="1"/>
    </xf>
    <xf numFmtId="0" fontId="65" fillId="0" borderId="23" xfId="0" applyFont="1" applyBorder="1"/>
    <xf numFmtId="0" fontId="0" fillId="0" borderId="0" xfId="0"/>
    <xf numFmtId="0" fontId="89" fillId="2" borderId="23" xfId="0" applyFont="1" applyFill="1" applyBorder="1" applyAlignment="1">
      <alignment horizontal="left" vertical="top" wrapText="1"/>
    </xf>
    <xf numFmtId="0" fontId="92" fillId="2" borderId="23" xfId="0" applyFont="1" applyFill="1" applyBorder="1" applyAlignment="1">
      <alignment horizontal="left" vertical="top" wrapText="1"/>
    </xf>
    <xf numFmtId="0" fontId="65" fillId="0" borderId="20" xfId="0" applyFont="1" applyBorder="1"/>
    <xf numFmtId="0" fontId="88" fillId="2" borderId="23" xfId="0" applyFont="1" applyFill="1" applyBorder="1" applyAlignment="1">
      <alignment horizontal="left" vertical="top" wrapText="1"/>
    </xf>
    <xf numFmtId="164" fontId="88" fillId="2" borderId="23" xfId="0" applyNumberFormat="1" applyFont="1" applyFill="1" applyBorder="1" applyAlignment="1">
      <alignment horizontal="left" vertical="top"/>
    </xf>
    <xf numFmtId="165" fontId="88" fillId="2" borderId="23" xfId="0" applyNumberFormat="1" applyFont="1" applyFill="1" applyBorder="1" applyAlignment="1">
      <alignment horizontal="left" vertical="top"/>
    </xf>
    <xf numFmtId="3" fontId="88" fillId="2" borderId="23" xfId="0" applyNumberFormat="1" applyFont="1" applyFill="1" applyBorder="1" applyAlignment="1">
      <alignment horizontal="left" vertical="top"/>
    </xf>
    <xf numFmtId="3" fontId="88" fillId="2" borderId="23" xfId="0" applyNumberFormat="1" applyFont="1" applyFill="1" applyBorder="1" applyAlignment="1">
      <alignment horizontal="left" vertical="top"/>
    </xf>
    <xf numFmtId="0" fontId="88" fillId="2" borderId="31" xfId="0" applyFont="1" applyFill="1" applyBorder="1" applyAlignment="1">
      <alignment horizontal="left" vertical="top" wrapText="1"/>
    </xf>
    <xf numFmtId="0" fontId="70" fillId="5" borderId="24" xfId="0" applyFont="1" applyFill="1" applyBorder="1"/>
    <xf numFmtId="0" fontId="93" fillId="5" borderId="35" xfId="0" applyFont="1" applyFill="1" applyBorder="1" applyAlignment="1">
      <alignment horizontal="left" vertical="top" wrapText="1"/>
    </xf>
    <xf numFmtId="0" fontId="94" fillId="5" borderId="35" xfId="0" applyFont="1" applyFill="1" applyBorder="1" applyAlignment="1">
      <alignment horizontal="right" vertical="top" wrapText="1"/>
    </xf>
    <xf numFmtId="0" fontId="70" fillId="2" borderId="24" xfId="0" applyFont="1" applyFill="1" applyBorder="1"/>
    <xf numFmtId="0" fontId="70" fillId="2" borderId="35" xfId="0" applyFont="1" applyFill="1" applyBorder="1"/>
    <xf numFmtId="0" fontId="88" fillId="2" borderId="35" xfId="0" applyFont="1" applyFill="1" applyBorder="1" applyAlignment="1">
      <alignment horizontal="right" vertical="top" wrapText="1"/>
    </xf>
    <xf numFmtId="0" fontId="94" fillId="2" borderId="35" xfId="0" applyFont="1" applyFill="1" applyBorder="1" applyAlignment="1">
      <alignment horizontal="left" vertical="top" wrapText="1"/>
    </xf>
    <xf numFmtId="164" fontId="88" fillId="2" borderId="35" xfId="0" applyNumberFormat="1" applyFont="1" applyFill="1" applyBorder="1" applyAlignment="1">
      <alignment horizontal="right" vertical="top"/>
    </xf>
    <xf numFmtId="4" fontId="88" fillId="2" borderId="35" xfId="0" applyNumberFormat="1" applyFont="1" applyFill="1" applyBorder="1" applyAlignment="1">
      <alignment horizontal="right" vertical="top"/>
    </xf>
    <xf numFmtId="3" fontId="88" fillId="2" borderId="35" xfId="0" applyNumberFormat="1" applyFont="1" applyFill="1" applyBorder="1" applyAlignment="1">
      <alignment horizontal="right" vertical="top"/>
    </xf>
    <xf numFmtId="0" fontId="70" fillId="4" borderId="24" xfId="0" applyFont="1" applyFill="1" applyBorder="1"/>
    <xf numFmtId="0" fontId="90" fillId="4" borderId="35" xfId="0" applyFont="1" applyFill="1" applyBorder="1" applyAlignment="1">
      <alignment horizontal="left" vertical="top" wrapText="1"/>
    </xf>
    <xf numFmtId="0" fontId="70" fillId="4" borderId="35" xfId="0" applyFont="1" applyFill="1" applyBorder="1"/>
    <xf numFmtId="0" fontId="92" fillId="2" borderId="35" xfId="0" applyFont="1" applyFill="1" applyBorder="1" applyAlignment="1">
      <alignment horizontal="left" vertical="top" wrapText="1"/>
    </xf>
    <xf numFmtId="164" fontId="92" fillId="2" borderId="35" xfId="0" applyNumberFormat="1" applyFont="1" applyFill="1" applyBorder="1" applyAlignment="1">
      <alignment horizontal="right" vertical="top"/>
    </xf>
    <xf numFmtId="0" fontId="92" fillId="2" borderId="35" xfId="0" applyFont="1" applyFill="1" applyBorder="1" applyAlignment="1">
      <alignment horizontal="right" vertical="top" wrapText="1"/>
    </xf>
    <xf numFmtId="0" fontId="90" fillId="5" borderId="35" xfId="0" applyFont="1" applyFill="1" applyBorder="1" applyAlignment="1">
      <alignment horizontal="left" vertical="top" wrapText="1"/>
    </xf>
    <xf numFmtId="0" fontId="70" fillId="5" borderId="35" xfId="0" applyFont="1" applyFill="1" applyBorder="1"/>
    <xf numFmtId="0" fontId="92" fillId="2" borderId="23" xfId="0" applyFont="1" applyFill="1" applyBorder="1" applyAlignment="1">
      <alignment horizontal="left" vertical="top" wrapText="1"/>
    </xf>
    <xf numFmtId="0" fontId="70" fillId="2" borderId="31" xfId="0" applyFont="1" applyFill="1" applyBorder="1"/>
    <xf numFmtId="0" fontId="70" fillId="5" borderId="31" xfId="0" applyFont="1" applyFill="1" applyBorder="1"/>
    <xf numFmtId="0" fontId="89" fillId="5" borderId="31" xfId="0" applyFont="1" applyFill="1" applyBorder="1" applyAlignment="1">
      <alignment horizontal="left" vertical="top" wrapText="1"/>
    </xf>
    <xf numFmtId="0" fontId="89" fillId="5" borderId="31" xfId="0" applyFont="1" applyFill="1" applyBorder="1" applyAlignment="1">
      <alignment horizontal="left" vertical="top" wrapText="1"/>
    </xf>
    <xf numFmtId="0" fontId="89" fillId="5" borderId="23" xfId="0" applyFont="1" applyFill="1" applyBorder="1" applyAlignment="1">
      <alignment horizontal="left" vertical="top" wrapText="1"/>
    </xf>
    <xf numFmtId="0" fontId="70" fillId="5" borderId="31" xfId="0" applyFont="1" applyFill="1" applyBorder="1"/>
    <xf numFmtId="0" fontId="88" fillId="5" borderId="23" xfId="0" applyFont="1" applyFill="1" applyBorder="1" applyAlignment="1">
      <alignment horizontal="right" vertical="top" wrapText="1"/>
    </xf>
    <xf numFmtId="0" fontId="70" fillId="5" borderId="23" xfId="0" applyFont="1" applyFill="1" applyBorder="1"/>
    <xf numFmtId="0" fontId="88" fillId="5" borderId="23" xfId="0" applyFont="1" applyFill="1" applyBorder="1" applyAlignment="1">
      <alignment horizontal="left" vertical="top" wrapText="1"/>
    </xf>
    <xf numFmtId="0" fontId="88" fillId="5" borderId="23" xfId="0" applyFont="1" applyFill="1" applyBorder="1" applyAlignment="1">
      <alignment horizontal="left" vertical="top" wrapText="1"/>
    </xf>
    <xf numFmtId="0" fontId="95" fillId="5" borderId="23" xfId="0" applyFont="1" applyFill="1" applyBorder="1" applyAlignment="1">
      <alignment horizontal="right" vertical="top" wrapText="1"/>
    </xf>
    <xf numFmtId="0" fontId="88" fillId="2" borderId="23" xfId="0" applyFont="1" applyFill="1" applyBorder="1" applyAlignment="1">
      <alignment horizontal="right" vertical="top" wrapText="1"/>
    </xf>
    <xf numFmtId="0" fontId="95" fillId="2" borderId="23" xfId="0" applyFont="1" applyFill="1" applyBorder="1" applyAlignment="1">
      <alignment horizontal="right" vertical="top" wrapText="1"/>
    </xf>
    <xf numFmtId="0" fontId="70" fillId="5" borderId="23" xfId="0" applyFont="1" applyFill="1" applyBorder="1"/>
    <xf numFmtId="0" fontId="70" fillId="6" borderId="23" xfId="0" applyFont="1" applyFill="1" applyBorder="1"/>
    <xf numFmtId="0" fontId="70" fillId="6" borderId="23" xfId="0" applyFont="1" applyFill="1" applyBorder="1"/>
    <xf numFmtId="0" fontId="90" fillId="6" borderId="23" xfId="0" applyFont="1" applyFill="1" applyBorder="1" applyAlignment="1">
      <alignment horizontal="center" vertical="top" wrapText="1"/>
    </xf>
    <xf numFmtId="0" fontId="90" fillId="6" borderId="23" xfId="0" applyFont="1" applyFill="1" applyBorder="1" applyAlignment="1">
      <alignment horizontal="left" vertical="center" wrapText="1"/>
    </xf>
    <xf numFmtId="0" fontId="90" fillId="6" borderId="23" xfId="0" applyFont="1" applyFill="1" applyBorder="1" applyAlignment="1">
      <alignment horizontal="center" vertical="center" wrapText="1"/>
    </xf>
    <xf numFmtId="0" fontId="96" fillId="2" borderId="31" xfId="0" applyFont="1" applyFill="1" applyBorder="1" applyAlignment="1">
      <alignment horizontal="left"/>
    </xf>
    <xf numFmtId="0" fontId="88" fillId="2" borderId="23" xfId="0" applyFont="1" applyFill="1" applyBorder="1" applyAlignment="1">
      <alignment horizontal="center" vertical="top" wrapText="1"/>
    </xf>
    <xf numFmtId="0" fontId="88" fillId="2" borderId="23" xfId="0" applyFont="1" applyFill="1" applyBorder="1" applyAlignment="1">
      <alignment horizontal="right" vertical="top" wrapText="1"/>
    </xf>
    <xf numFmtId="166" fontId="88" fillId="2" borderId="23" xfId="0" applyNumberFormat="1" applyFont="1" applyFill="1" applyBorder="1" applyAlignment="1">
      <alignment horizontal="center" vertical="top"/>
    </xf>
    <xf numFmtId="0" fontId="96" fillId="7" borderId="23" xfId="0" applyFont="1" applyFill="1" applyBorder="1" applyAlignment="1">
      <alignment horizontal="left" vertical="top" wrapText="1"/>
    </xf>
    <xf numFmtId="0" fontId="88" fillId="7" borderId="23" xfId="0" applyFont="1" applyFill="1" applyBorder="1" applyAlignment="1">
      <alignment horizontal="center" vertical="top" wrapText="1"/>
    </xf>
    <xf numFmtId="0" fontId="70" fillId="7" borderId="23" xfId="0" applyFont="1" applyFill="1" applyBorder="1"/>
    <xf numFmtId="164" fontId="88" fillId="7" borderId="23" xfId="0" applyNumberFormat="1" applyFont="1" applyFill="1" applyBorder="1" applyAlignment="1">
      <alignment horizontal="right" vertical="top"/>
    </xf>
    <xf numFmtId="0" fontId="98" fillId="6" borderId="23" xfId="0" applyFont="1" applyFill="1" applyBorder="1" applyAlignment="1">
      <alignment horizontal="left" vertical="center" wrapText="1"/>
    </xf>
    <xf numFmtId="0" fontId="98" fillId="8" borderId="23" xfId="0" applyFont="1" applyFill="1" applyBorder="1" applyAlignment="1">
      <alignment horizontal="center" vertical="center" wrapText="1"/>
    </xf>
    <xf numFmtId="0" fontId="90" fillId="6" borderId="23" xfId="0" applyFont="1" applyFill="1" applyBorder="1" applyAlignment="1">
      <alignment horizontal="right" vertical="center" wrapText="1"/>
    </xf>
    <xf numFmtId="0" fontId="97" fillId="2" borderId="23" xfId="0" applyFont="1" applyFill="1" applyBorder="1" applyAlignment="1">
      <alignment horizontal="left" vertical="top" wrapText="1"/>
    </xf>
    <xf numFmtId="3" fontId="88" fillId="2" borderId="23" xfId="0" applyNumberFormat="1" applyFont="1" applyFill="1" applyBorder="1" applyAlignment="1">
      <alignment horizontal="center" vertical="top"/>
    </xf>
    <xf numFmtId="0" fontId="18" fillId="2" borderId="23" xfId="0" applyFont="1" applyFill="1" applyBorder="1" applyAlignment="1">
      <alignment horizontal="center" vertical="top" wrapText="1"/>
    </xf>
    <xf numFmtId="164" fontId="88" fillId="2" borderId="23" xfId="0" applyNumberFormat="1" applyFont="1" applyFill="1" applyBorder="1" applyAlignment="1">
      <alignment horizontal="right" vertical="top"/>
    </xf>
    <xf numFmtId="0" fontId="97" fillId="5" borderId="23" xfId="0" applyFont="1" applyFill="1" applyBorder="1" applyAlignment="1">
      <alignment horizontal="left" vertical="top" wrapText="1"/>
    </xf>
    <xf numFmtId="0" fontId="88" fillId="5" borderId="23" xfId="0" applyFont="1" applyFill="1" applyBorder="1" applyAlignment="1">
      <alignment horizontal="center" vertical="top" wrapText="1"/>
    </xf>
    <xf numFmtId="0" fontId="88" fillId="4" borderId="23" xfId="0" applyFont="1" applyFill="1" applyBorder="1" applyAlignment="1">
      <alignment horizontal="right" vertical="top" wrapText="1"/>
    </xf>
    <xf numFmtId="3" fontId="88" fillId="5" borderId="23" xfId="0" applyNumberFormat="1" applyFont="1" applyFill="1" applyBorder="1" applyAlignment="1">
      <alignment horizontal="center" vertical="top"/>
    </xf>
    <xf numFmtId="166" fontId="88" fillId="5" borderId="23" xfId="0" applyNumberFormat="1" applyFont="1" applyFill="1" applyBorder="1" applyAlignment="1">
      <alignment horizontal="center" vertical="top"/>
    </xf>
    <xf numFmtId="0" fontId="18" fillId="5" borderId="23" xfId="0" applyFont="1" applyFill="1" applyBorder="1" applyAlignment="1">
      <alignment horizontal="center" vertical="top" wrapText="1"/>
    </xf>
    <xf numFmtId="0" fontId="88" fillId="5" borderId="23" xfId="0" applyFont="1" applyFill="1" applyBorder="1" applyAlignment="1">
      <alignment horizontal="right" vertical="top" wrapText="1"/>
    </xf>
  </cellXfs>
  <cellStyles count="12">
    <cellStyle name="Comma 2 3" xfId="4" xr:uid="{0195D3B3-8D42-4A11-8703-EE5783670694}"/>
    <cellStyle name="Comma 2 4" xfId="11" xr:uid="{D08101F3-8954-4CD9-BCBD-51B1AD4A2A6E}"/>
    <cellStyle name="Migliaia" xfId="2" builtinId="3"/>
    <cellStyle name="Normal 2 2" xfId="5" xr:uid="{E0E55CCA-E09D-4BE4-9E80-C653656F8763}"/>
    <cellStyle name="Normal 4 4" xfId="10" xr:uid="{44B59DBF-1119-4AA3-B3E1-5C67CEA8D7DA}"/>
    <cellStyle name="Normal 6" xfId="7" xr:uid="{6840BDC0-CEA3-429E-B8CF-1E90D631916A}"/>
    <cellStyle name="Normale" xfId="0" builtinId="0"/>
    <cellStyle name="Normale 2" xfId="3" xr:uid="{7BDC2F54-F3B5-412F-87CF-A5ADF7746DD3}"/>
    <cellStyle name="Normale 3" xfId="9" xr:uid="{1AB6DCBD-E67C-4720-B050-309028E6FCCD}"/>
    <cellStyle name="Per cent 2 3" xfId="6" xr:uid="{07E5CF08-6DE0-4925-B21B-F916B10BA4FE}"/>
    <cellStyle name="Percentuale" xfId="1" builtinId="5"/>
    <cellStyle name="Percentuale 2" xfId="8" xr:uid="{D168AE09-96FF-48A7-B6B0-CE3CB6CDA5A4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EAFF"/>
          <bgColor rgb="FFF9EAFF"/>
        </patternFill>
      </fill>
    </dxf>
    <dxf>
      <fill>
        <patternFill patternType="solid">
          <fgColor rgb="FFE7ACFF"/>
          <bgColor rgb="FFE7ACFF"/>
        </patternFill>
      </fill>
    </dxf>
  </dxfs>
  <tableStyles count="1">
    <tableStyle name="Cash flow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nicol/OneDrive/Desktop/UNIBZ/Advance%20Financial%20Statement%20Analysis/Assigmnent/Group/Group%20Assignment%204_5%20-%202025.12.09/EXCEL/Luis%20Trenker%20excel%20statements%20(1).xlsx" TargetMode="External"/><Relationship Id="rId2" Type="http://schemas.openxmlformats.org/officeDocument/2006/relationships/externalLinkPath" Target="file:///C:\Users\nicol\OneDrive\Desktop\UNIBZ\Advance%20Financial%20Statement%20Analysis\Assigmnent\Group\Group%20Assignment%204_5%20-%202025.12.09\EXCEL\Luis%20Trenker%20excel%20statements%20(1).xlsx" TargetMode="External"/><Relationship Id="rId1" Type="http://schemas.openxmlformats.org/officeDocument/2006/relationships/externalLinkPath" Target="/Users/nicol/OneDrive/Desktop/UNIBZ/Advance%20Financial%20Statement%20Analysis/Assigmnent/Group/Group%20Assignment%204_5%20-%202025.12.09/EXCEL/Luis%20Trenker%20excel%20statemen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ort original"/>
      <sheetName val="Reformulated balance sheet"/>
      <sheetName val="Reformulated Income statement"/>
      <sheetName val="Balance sheet"/>
      <sheetName val="Cash flow"/>
      <sheetName val="Ratio"/>
      <sheetName val="Income statement"/>
      <sheetName val="Ratios"/>
    </sheetNames>
    <sheetDataSet>
      <sheetData sheetId="0"/>
      <sheetData sheetId="1">
        <row r="17">
          <cell r="D17">
            <v>6128</v>
          </cell>
          <cell r="E17">
            <v>9204</v>
          </cell>
          <cell r="F17">
            <v>16924</v>
          </cell>
          <cell r="G17">
            <v>29539</v>
          </cell>
        </row>
        <row r="19">
          <cell r="D19">
            <v>6687559</v>
          </cell>
          <cell r="E19">
            <v>8148901</v>
          </cell>
          <cell r="F19">
            <v>9344039</v>
          </cell>
          <cell r="G19">
            <v>10393577</v>
          </cell>
        </row>
        <row r="21">
          <cell r="D21">
            <v>7250567</v>
          </cell>
          <cell r="E21">
            <v>8985482</v>
          </cell>
          <cell r="F21">
            <v>10877098</v>
          </cell>
          <cell r="G21">
            <v>11990730</v>
          </cell>
        </row>
        <row r="26">
          <cell r="D26">
            <v>19704</v>
          </cell>
          <cell r="E26">
            <v>324454</v>
          </cell>
          <cell r="F26">
            <v>838262</v>
          </cell>
          <cell r="G26">
            <v>1615043</v>
          </cell>
        </row>
        <row r="44">
          <cell r="D44">
            <v>2172213</v>
          </cell>
          <cell r="E44">
            <v>3936175</v>
          </cell>
          <cell r="F44">
            <v>3829006</v>
          </cell>
          <cell r="G44">
            <v>4541785</v>
          </cell>
        </row>
        <row r="46">
          <cell r="D46">
            <v>6283677</v>
          </cell>
          <cell r="E46">
            <v>7504786</v>
          </cell>
          <cell r="F46">
            <v>8619620</v>
          </cell>
          <cell r="G46">
            <v>9060965</v>
          </cell>
        </row>
        <row r="56">
          <cell r="D56">
            <v>1192500</v>
          </cell>
          <cell r="E56">
            <v>1268047</v>
          </cell>
          <cell r="F56">
            <v>1367114</v>
          </cell>
          <cell r="G56">
            <v>899391</v>
          </cell>
        </row>
        <row r="57">
          <cell r="D57">
            <v>1885278</v>
          </cell>
          <cell r="E57">
            <v>2153497</v>
          </cell>
          <cell r="F57">
            <v>2892260</v>
          </cell>
          <cell r="G57">
            <v>2962879</v>
          </cell>
        </row>
        <row r="58">
          <cell r="D58">
            <v>164109</v>
          </cell>
          <cell r="E58">
            <v>292008</v>
          </cell>
          <cell r="F58">
            <v>341765</v>
          </cell>
          <cell r="G58">
            <v>598899</v>
          </cell>
        </row>
        <row r="59">
          <cell r="D59">
            <v>347004</v>
          </cell>
          <cell r="E59">
            <v>493113</v>
          </cell>
          <cell r="F59">
            <v>1140269</v>
          </cell>
          <cell r="G59">
            <v>947664</v>
          </cell>
        </row>
        <row r="60">
          <cell r="D60">
            <v>1625</v>
          </cell>
          <cell r="E60">
            <v>1190</v>
          </cell>
          <cell r="F60">
            <v>755</v>
          </cell>
          <cell r="G60">
            <v>320</v>
          </cell>
        </row>
        <row r="63">
          <cell r="D63">
            <v>6766164</v>
          </cell>
          <cell r="E63">
            <v>8845278</v>
          </cell>
          <cell r="F63">
            <v>10164691</v>
          </cell>
          <cell r="G63">
            <v>11515958</v>
          </cell>
        </row>
        <row r="66">
          <cell r="D66">
            <v>50270</v>
          </cell>
          <cell r="E66">
            <v>50270</v>
          </cell>
          <cell r="F66">
            <v>50270</v>
          </cell>
          <cell r="G66">
            <v>50270</v>
          </cell>
        </row>
        <row r="67">
          <cell r="D67">
            <v>484403</v>
          </cell>
          <cell r="E67">
            <v>140204</v>
          </cell>
          <cell r="F67">
            <v>712407</v>
          </cell>
          <cell r="G67">
            <v>474772</v>
          </cell>
        </row>
        <row r="68">
          <cell r="D68">
            <v>7250567</v>
          </cell>
          <cell r="E68">
            <v>8985482</v>
          </cell>
          <cell r="F68">
            <v>10877098</v>
          </cell>
          <cell r="G68">
            <v>11990730</v>
          </cell>
        </row>
        <row r="71">
          <cell r="D71">
            <v>1023644</v>
          </cell>
          <cell r="E71">
            <v>1770389</v>
          </cell>
          <cell r="F71">
            <v>1844400</v>
          </cell>
          <cell r="G71">
            <v>1259596</v>
          </cell>
        </row>
        <row r="76">
          <cell r="D76">
            <v>1763860</v>
          </cell>
          <cell r="E76">
            <v>2761692</v>
          </cell>
          <cell r="F76">
            <v>2935209</v>
          </cell>
          <cell r="G76">
            <v>2474200</v>
          </cell>
        </row>
        <row r="83">
          <cell r="D83">
            <v>4519817</v>
          </cell>
          <cell r="E83">
            <v>4743094</v>
          </cell>
          <cell r="F83">
            <v>5684411</v>
          </cell>
          <cell r="G83">
            <v>6586765</v>
          </cell>
        </row>
        <row r="89">
          <cell r="D89">
            <v>966890</v>
          </cell>
          <cell r="E89">
            <v>1480696</v>
          </cell>
          <cell r="F89">
            <v>2257478</v>
          </cell>
          <cell r="G89">
            <v>2929765</v>
          </cell>
        </row>
      </sheetData>
      <sheetData sheetId="2">
        <row r="5">
          <cell r="D5">
            <v>9241787</v>
          </cell>
          <cell r="E5">
            <v>12660706</v>
          </cell>
          <cell r="F5">
            <v>14473142</v>
          </cell>
          <cell r="G5">
            <v>14950204</v>
          </cell>
        </row>
        <row r="7">
          <cell r="D7">
            <v>-4922052</v>
          </cell>
          <cell r="E7">
            <v>-6273959</v>
          </cell>
          <cell r="F7">
            <v>-7792575</v>
          </cell>
          <cell r="G7">
            <v>-6960697</v>
          </cell>
        </row>
        <row r="9">
          <cell r="D9">
            <v>-342652</v>
          </cell>
          <cell r="E9">
            <v>-584234</v>
          </cell>
          <cell r="F9">
            <v>-352969</v>
          </cell>
          <cell r="G9">
            <v>-406658</v>
          </cell>
        </row>
        <row r="11">
          <cell r="D11">
            <v>546866</v>
          </cell>
          <cell r="E11">
            <v>889046</v>
          </cell>
          <cell r="F11">
            <v>1255732</v>
          </cell>
          <cell r="G11">
            <v>1106409</v>
          </cell>
        </row>
        <row r="44">
          <cell r="D44">
            <v>380173</v>
          </cell>
          <cell r="E44">
            <v>715581</v>
          </cell>
          <cell r="F44">
            <v>1016001</v>
          </cell>
          <cell r="G44">
            <v>798349</v>
          </cell>
        </row>
        <row r="46">
          <cell r="D46">
            <v>304750</v>
          </cell>
          <cell r="E46">
            <v>513808</v>
          </cell>
          <cell r="F46">
            <v>776780</v>
          </cell>
          <cell r="G46">
            <v>672289</v>
          </cell>
        </row>
        <row r="50">
          <cell r="D50">
            <v>304750</v>
          </cell>
          <cell r="E50">
            <v>513808</v>
          </cell>
          <cell r="F50">
            <v>776780</v>
          </cell>
          <cell r="G50">
            <v>672289</v>
          </cell>
        </row>
        <row r="62">
          <cell r="D62">
            <v>-2242963</v>
          </cell>
          <cell r="E62">
            <v>-2473024</v>
          </cell>
          <cell r="F62">
            <v>-2871646</v>
          </cell>
          <cell r="G62">
            <v>-3194159</v>
          </cell>
        </row>
        <row r="63">
          <cell r="D63">
            <v>-357317</v>
          </cell>
          <cell r="E63">
            <v>-562664</v>
          </cell>
          <cell r="F63">
            <v>-740801</v>
          </cell>
          <cell r="G63">
            <v>-873725</v>
          </cell>
        </row>
        <row r="64">
          <cell r="D64">
            <v>-1452701</v>
          </cell>
          <cell r="E64">
            <v>-2128151</v>
          </cell>
          <cell r="F64">
            <v>-2183699</v>
          </cell>
          <cell r="G64">
            <v>-2452118</v>
          </cell>
        </row>
        <row r="72">
          <cell r="D72">
            <v>-60840.500245940668</v>
          </cell>
          <cell r="E72">
            <v>317391.31066923239</v>
          </cell>
          <cell r="F72">
            <v>65251.227902334707</v>
          </cell>
          <cell r="G72">
            <v>881265.58102158329</v>
          </cell>
        </row>
        <row r="76">
          <cell r="D76">
            <v>438372.56591078278</v>
          </cell>
          <cell r="E76">
            <v>638360.92233863112</v>
          </cell>
          <cell r="F76">
            <v>960065.49497490644</v>
          </cell>
          <cell r="G76">
            <v>931706.05862974713</v>
          </cell>
        </row>
        <row r="78">
          <cell r="D78">
            <v>291</v>
          </cell>
          <cell r="E78">
            <v>258</v>
          </cell>
          <cell r="F78">
            <v>333</v>
          </cell>
          <cell r="G78">
            <v>74265</v>
          </cell>
        </row>
        <row r="79">
          <cell r="D79">
            <v>-166922</v>
          </cell>
          <cell r="E79">
            <v>-173690</v>
          </cell>
          <cell r="F79">
            <v>-240050</v>
          </cell>
          <cell r="G79">
            <v>-382279</v>
          </cell>
        </row>
        <row r="83">
          <cell r="D83">
            <v>-133622.56591078272</v>
          </cell>
          <cell r="E83">
            <v>-124552.92233863112</v>
          </cell>
          <cell r="F83">
            <v>-183285.49497490653</v>
          </cell>
          <cell r="G83">
            <v>-259417.05862974713</v>
          </cell>
        </row>
        <row r="100">
          <cell r="D100">
            <v>438372.56591078278</v>
          </cell>
          <cell r="E100">
            <v>638360.92233863112</v>
          </cell>
          <cell r="F100">
            <v>960065.49497490644</v>
          </cell>
          <cell r="G100">
            <v>931706.05862974713</v>
          </cell>
        </row>
      </sheetData>
      <sheetData sheetId="3">
        <row r="14">
          <cell r="C14">
            <v>24644</v>
          </cell>
          <cell r="D14">
            <v>23054</v>
          </cell>
          <cell r="E14">
            <v>30220</v>
          </cell>
          <cell r="F14">
            <v>31737</v>
          </cell>
        </row>
        <row r="15">
          <cell r="C15">
            <v>1625</v>
          </cell>
          <cell r="D15">
            <v>1190</v>
          </cell>
          <cell r="E15">
            <v>755</v>
          </cell>
          <cell r="F15">
            <v>320</v>
          </cell>
        </row>
        <row r="18">
          <cell r="C18">
            <v>314584</v>
          </cell>
          <cell r="D18">
            <v>470059</v>
          </cell>
          <cell r="E18">
            <v>607619</v>
          </cell>
          <cell r="F18">
            <v>537332</v>
          </cell>
        </row>
      </sheetData>
      <sheetData sheetId="4">
        <row r="29">
          <cell r="Q29">
            <v>225091</v>
          </cell>
          <cell r="R29">
            <v>637608</v>
          </cell>
          <cell r="S29">
            <v>115848</v>
          </cell>
          <cell r="T29">
            <v>-418985</v>
          </cell>
        </row>
      </sheetData>
      <sheetData sheetId="5"/>
      <sheetData sheetId="6">
        <row r="27">
          <cell r="C27">
            <v>44125</v>
          </cell>
          <cell r="D27">
            <v>50982</v>
          </cell>
          <cell r="E27">
            <v>65514</v>
          </cell>
          <cell r="F27">
            <v>104667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workbookViewId="0"/>
  </sheetViews>
  <sheetFormatPr defaultColWidth="12.5546875" defaultRowHeight="15" customHeight="1"/>
  <cols>
    <col min="1" max="2" width="47.5546875" customWidth="1"/>
    <col min="3" max="3" width="21.88671875" customWidth="1"/>
    <col min="4" max="4" width="19" customWidth="1"/>
    <col min="5" max="9" width="10.44140625" customWidth="1"/>
    <col min="10" max="10" width="22.21875" customWidth="1"/>
    <col min="11" max="11" width="11.44140625" customWidth="1"/>
    <col min="12" max="12" width="22.21875" customWidth="1"/>
    <col min="13" max="13" width="9.44140625" customWidth="1"/>
    <col min="14" max="14" width="11.109375" customWidth="1"/>
    <col min="15" max="17" width="0.109375" customWidth="1"/>
    <col min="18" max="18" width="3.21875" customWidth="1"/>
    <col min="19" max="26" width="11.109375" customWidth="1"/>
  </cols>
  <sheetData>
    <row r="1" spans="1:18" ht="16.5" customHeight="1">
      <c r="A1" s="1"/>
      <c r="B1" s="566" t="s">
        <v>0</v>
      </c>
      <c r="C1" s="541"/>
      <c r="D1" s="54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3.2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" customHeight="1">
      <c r="A3" s="567"/>
      <c r="B3" s="541"/>
      <c r="C3" s="56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2" customHeight="1">
      <c r="A4" s="3" t="s">
        <v>1</v>
      </c>
      <c r="B4" s="4" t="s">
        <v>2</v>
      </c>
      <c r="C4" s="5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2" customHeight="1">
      <c r="A5" s="6"/>
      <c r="B5" s="4" t="s">
        <v>4</v>
      </c>
      <c r="C5" s="5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2" customHeight="1">
      <c r="A6" s="3" t="s">
        <v>6</v>
      </c>
      <c r="B6" s="543"/>
      <c r="C6" s="56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2" customHeight="1">
      <c r="A7" s="569" t="s">
        <v>7</v>
      </c>
      <c r="B7" s="541"/>
      <c r="C7" s="56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2" customHeight="1">
      <c r="A8" s="570"/>
      <c r="B8" s="571"/>
      <c r="C8" s="57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2" customHeight="1">
      <c r="A9" s="543"/>
      <c r="B9" s="541"/>
      <c r="C9" s="541"/>
      <c r="D9" s="541"/>
      <c r="E9" s="541"/>
      <c r="F9" s="541"/>
      <c r="G9" s="541"/>
      <c r="H9" s="541"/>
      <c r="I9" s="541"/>
      <c r="J9" s="542"/>
      <c r="K9" s="2"/>
      <c r="L9" s="2"/>
      <c r="M9" s="2"/>
      <c r="N9" s="2"/>
      <c r="O9" s="2"/>
      <c r="P9" s="2"/>
      <c r="Q9" s="2"/>
      <c r="R9" s="2"/>
    </row>
    <row r="10" spans="1:18" ht="15.75" customHeight="1">
      <c r="A10" s="549" t="s">
        <v>8</v>
      </c>
      <c r="B10" s="550"/>
      <c r="C10" s="550"/>
      <c r="D10" s="550"/>
      <c r="E10" s="550"/>
      <c r="F10" s="550"/>
      <c r="G10" s="550"/>
      <c r="H10" s="550"/>
      <c r="I10" s="550"/>
      <c r="J10" s="551"/>
      <c r="K10" s="2"/>
      <c r="L10" s="2"/>
      <c r="M10" s="2"/>
      <c r="N10" s="2"/>
      <c r="O10" s="2"/>
      <c r="P10" s="2"/>
      <c r="Q10" s="2"/>
      <c r="R10" s="2"/>
    </row>
    <row r="11" spans="1:18" ht="12" customHeight="1">
      <c r="A11" s="543"/>
      <c r="B11" s="541"/>
      <c r="C11" s="541"/>
      <c r="D11" s="541"/>
      <c r="E11" s="541"/>
      <c r="F11" s="541"/>
      <c r="G11" s="541"/>
      <c r="H11" s="541"/>
      <c r="I11" s="541"/>
      <c r="J11" s="542"/>
      <c r="K11" s="2"/>
      <c r="L11" s="2"/>
      <c r="M11" s="2"/>
      <c r="N11" s="2"/>
      <c r="O11" s="2"/>
      <c r="P11" s="2"/>
      <c r="Q11" s="2"/>
      <c r="R11" s="2"/>
    </row>
    <row r="12" spans="1:18" ht="12" customHeight="1">
      <c r="A12" s="543"/>
      <c r="B12" s="541"/>
      <c r="C12" s="54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2" customHeight="1">
      <c r="A13" s="544" t="s">
        <v>9</v>
      </c>
      <c r="B13" s="541"/>
      <c r="C13" s="54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2" customHeight="1">
      <c r="A14" s="7" t="s">
        <v>10</v>
      </c>
      <c r="B14" s="4" t="s">
        <v>11</v>
      </c>
      <c r="C14" s="7" t="s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2" customHeight="1">
      <c r="A15" s="7" t="s">
        <v>1</v>
      </c>
      <c r="B15" s="4" t="s">
        <v>13</v>
      </c>
      <c r="C15" s="8" t="str">
        <f>HYPERLINK("http://www.luistrenker.com/","www.luistrenker.com")</f>
        <v>www.luistrenker.com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2" customHeight="1">
      <c r="A16" s="7" t="s">
        <v>14</v>
      </c>
      <c r="B16" s="543"/>
      <c r="C16" s="54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2" customHeight="1">
      <c r="A17" s="543"/>
      <c r="B17" s="541"/>
      <c r="C17" s="54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2" customHeight="1">
      <c r="A18" s="544" t="s">
        <v>15</v>
      </c>
      <c r="B18" s="541"/>
      <c r="C18" s="54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2" customHeight="1">
      <c r="A19" s="7" t="s">
        <v>16</v>
      </c>
      <c r="B19" s="4" t="s">
        <v>11</v>
      </c>
      <c r="C19" s="7" t="s">
        <v>12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2" customHeight="1">
      <c r="A20" s="7" t="s">
        <v>1</v>
      </c>
      <c r="B20" s="563"/>
      <c r="C20" s="53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2" customHeight="1">
      <c r="A21" s="7" t="s">
        <v>17</v>
      </c>
      <c r="B21" s="537"/>
      <c r="C21" s="53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2" customHeight="1">
      <c r="A22" s="543"/>
      <c r="B22" s="541"/>
      <c r="C22" s="54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2" customHeight="1">
      <c r="A23" s="543"/>
      <c r="B23" s="541"/>
      <c r="C23" s="541"/>
      <c r="D23" s="541"/>
      <c r="E23" s="541"/>
      <c r="F23" s="541"/>
      <c r="G23" s="541"/>
      <c r="H23" s="541"/>
      <c r="I23" s="541"/>
      <c r="J23" s="542"/>
      <c r="K23" s="2"/>
      <c r="L23" s="2"/>
      <c r="M23" s="2"/>
      <c r="N23" s="2"/>
      <c r="O23" s="2"/>
      <c r="P23" s="2"/>
      <c r="Q23" s="2"/>
      <c r="R23" s="2"/>
    </row>
    <row r="24" spans="1:18" ht="15.75" customHeight="1">
      <c r="A24" s="549" t="s">
        <v>18</v>
      </c>
      <c r="B24" s="550"/>
      <c r="C24" s="550"/>
      <c r="D24" s="550"/>
      <c r="E24" s="550"/>
      <c r="F24" s="550"/>
      <c r="G24" s="550"/>
      <c r="H24" s="550"/>
      <c r="I24" s="550"/>
      <c r="J24" s="551"/>
      <c r="K24" s="2"/>
      <c r="L24" s="2"/>
      <c r="M24" s="2"/>
      <c r="N24" s="2"/>
      <c r="O24" s="2"/>
      <c r="P24" s="2"/>
      <c r="Q24" s="2"/>
      <c r="R24" s="2"/>
    </row>
    <row r="25" spans="1:18" ht="12" customHeight="1">
      <c r="A25" s="543"/>
      <c r="B25" s="541"/>
      <c r="C25" s="541"/>
      <c r="D25" s="541"/>
      <c r="E25" s="541"/>
      <c r="F25" s="541"/>
      <c r="G25" s="541"/>
      <c r="H25" s="541"/>
      <c r="I25" s="541"/>
      <c r="J25" s="542"/>
      <c r="K25" s="2"/>
      <c r="L25" s="2"/>
      <c r="M25" s="2"/>
      <c r="N25" s="2"/>
      <c r="O25" s="2"/>
      <c r="P25" s="2"/>
      <c r="Q25" s="2"/>
      <c r="R25" s="2"/>
    </row>
    <row r="26" spans="1:18" ht="12" customHeight="1">
      <c r="A26" s="543"/>
      <c r="B26" s="54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2" customHeight="1">
      <c r="A27" s="552" t="s">
        <v>19</v>
      </c>
      <c r="B27" s="54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2" customHeight="1">
      <c r="A28" s="7" t="s">
        <v>20</v>
      </c>
      <c r="B28" s="7" t="s">
        <v>21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2" customHeight="1">
      <c r="A29" s="564" t="s">
        <v>22</v>
      </c>
      <c r="B29" s="56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2" customHeight="1">
      <c r="A30" s="543"/>
      <c r="B30" s="541"/>
      <c r="C30" s="541"/>
      <c r="D30" s="54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2" customHeight="1">
      <c r="A31" s="4" t="s">
        <v>23</v>
      </c>
      <c r="B31" s="7" t="s">
        <v>24</v>
      </c>
      <c r="C31" s="561" t="s">
        <v>25</v>
      </c>
      <c r="D31" s="557" t="s">
        <v>26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1.25" customHeight="1">
      <c r="A32" s="561" t="s">
        <v>27</v>
      </c>
      <c r="B32" s="557" t="s">
        <v>28</v>
      </c>
      <c r="C32" s="528"/>
      <c r="D32" s="52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2" customHeight="1">
      <c r="A33" s="528"/>
      <c r="B33" s="528"/>
      <c r="C33" s="4" t="s">
        <v>29</v>
      </c>
      <c r="D33" s="9">
        <v>10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2" customHeight="1">
      <c r="A34" s="4" t="s">
        <v>30</v>
      </c>
      <c r="B34" s="10">
        <v>37077</v>
      </c>
      <c r="C34" s="4" t="s">
        <v>31</v>
      </c>
      <c r="D34" s="7" t="s">
        <v>32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2" customHeight="1">
      <c r="A35" s="543"/>
      <c r="B35" s="542"/>
      <c r="C35" s="4" t="s">
        <v>33</v>
      </c>
      <c r="D35" s="7" t="s">
        <v>34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2" customHeight="1">
      <c r="A36" s="543"/>
      <c r="B36" s="541"/>
      <c r="C36" s="541"/>
      <c r="D36" s="541"/>
      <c r="E36" s="541"/>
      <c r="F36" s="541"/>
      <c r="G36" s="541"/>
      <c r="H36" s="541"/>
      <c r="I36" s="541"/>
      <c r="J36" s="541"/>
      <c r="K36" s="542"/>
      <c r="L36" s="2"/>
      <c r="M36" s="2"/>
      <c r="N36" s="2"/>
      <c r="O36" s="2"/>
      <c r="P36" s="2"/>
      <c r="Q36" s="2"/>
      <c r="R36" s="2"/>
    </row>
    <row r="37" spans="1:18" ht="12" customHeight="1">
      <c r="A37" s="543"/>
      <c r="B37" s="541"/>
      <c r="C37" s="541"/>
      <c r="D37" s="541"/>
      <c r="E37" s="541"/>
      <c r="F37" s="541"/>
      <c r="G37" s="541"/>
      <c r="H37" s="541"/>
      <c r="I37" s="541"/>
      <c r="J37" s="542"/>
      <c r="K37" s="2"/>
      <c r="L37" s="2"/>
      <c r="M37" s="2"/>
      <c r="N37" s="2"/>
      <c r="O37" s="2"/>
      <c r="P37" s="2"/>
      <c r="Q37" s="2"/>
      <c r="R37" s="2"/>
    </row>
    <row r="38" spans="1:18" ht="15.75" customHeight="1">
      <c r="A38" s="549" t="s">
        <v>35</v>
      </c>
      <c r="B38" s="550"/>
      <c r="C38" s="550"/>
      <c r="D38" s="550"/>
      <c r="E38" s="550"/>
      <c r="F38" s="550"/>
      <c r="G38" s="550"/>
      <c r="H38" s="550"/>
      <c r="I38" s="550"/>
      <c r="J38" s="551"/>
      <c r="K38" s="2"/>
      <c r="L38" s="2"/>
      <c r="M38" s="2"/>
      <c r="N38" s="2"/>
      <c r="O38" s="2"/>
      <c r="P38" s="2"/>
      <c r="Q38" s="2"/>
      <c r="R38" s="2"/>
    </row>
    <row r="39" spans="1:18" ht="12" customHeight="1">
      <c r="A39" s="543"/>
      <c r="B39" s="541"/>
      <c r="C39" s="541"/>
      <c r="D39" s="541"/>
      <c r="E39" s="541"/>
      <c r="F39" s="541"/>
      <c r="G39" s="541"/>
      <c r="H39" s="541"/>
      <c r="I39" s="541"/>
      <c r="J39" s="542"/>
      <c r="K39" s="2"/>
      <c r="L39" s="2"/>
      <c r="M39" s="2"/>
      <c r="N39" s="2"/>
      <c r="O39" s="2"/>
      <c r="P39" s="2"/>
      <c r="Q39" s="2"/>
      <c r="R39" s="2"/>
    </row>
    <row r="40" spans="1:18" ht="12" customHeight="1">
      <c r="A40" s="543"/>
      <c r="B40" s="541"/>
      <c r="C40" s="541"/>
      <c r="D40" s="54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2" customHeight="1">
      <c r="A41" s="4" t="s">
        <v>36</v>
      </c>
      <c r="B41" s="7" t="s">
        <v>37</v>
      </c>
      <c r="C41" s="561" t="s">
        <v>38</v>
      </c>
      <c r="D41" s="557" t="s">
        <v>39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1.25" customHeight="1">
      <c r="A42" s="561" t="s">
        <v>40</v>
      </c>
      <c r="B42" s="557" t="s">
        <v>41</v>
      </c>
      <c r="C42" s="528"/>
      <c r="D42" s="52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0.75" customHeight="1">
      <c r="A43" s="528"/>
      <c r="B43" s="528"/>
      <c r="C43" s="561" t="s">
        <v>42</v>
      </c>
      <c r="D43" s="562">
        <v>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2" customHeight="1">
      <c r="A44" s="4" t="s">
        <v>43</v>
      </c>
      <c r="B44" s="7" t="s">
        <v>44</v>
      </c>
      <c r="C44" s="530"/>
      <c r="D44" s="53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9.75" customHeight="1">
      <c r="A45" s="561" t="s">
        <v>45</v>
      </c>
      <c r="B45" s="557" t="s">
        <v>46</v>
      </c>
      <c r="C45" s="528"/>
      <c r="D45" s="52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2.25" customHeight="1">
      <c r="A46" s="528"/>
      <c r="B46" s="528"/>
      <c r="C46" s="561" t="s">
        <v>47</v>
      </c>
      <c r="D46" s="562">
        <v>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2" customHeight="1">
      <c r="A47" s="4" t="s">
        <v>48</v>
      </c>
      <c r="B47" s="7" t="s">
        <v>49</v>
      </c>
      <c r="C47" s="530"/>
      <c r="D47" s="53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9" customHeight="1">
      <c r="A48" s="563"/>
      <c r="B48" s="536"/>
      <c r="C48" s="528"/>
      <c r="D48" s="52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23.25" customHeight="1">
      <c r="A49" s="537"/>
      <c r="B49" s="539"/>
      <c r="C49" s="4" t="s">
        <v>50</v>
      </c>
      <c r="D49" s="11">
        <v>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2" customHeight="1">
      <c r="A50" s="543"/>
      <c r="B50" s="541"/>
      <c r="C50" s="541"/>
      <c r="D50" s="54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2" customHeight="1">
      <c r="A51" s="4" t="s">
        <v>51</v>
      </c>
      <c r="B51" s="553" t="s">
        <v>52</v>
      </c>
      <c r="C51" s="541"/>
      <c r="D51" s="54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2" customHeight="1">
      <c r="A52" s="543"/>
      <c r="B52" s="541"/>
      <c r="C52" s="541"/>
      <c r="D52" s="54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2" customHeight="1">
      <c r="A53" s="543"/>
      <c r="B53" s="541"/>
      <c r="C53" s="541"/>
      <c r="D53" s="541"/>
      <c r="E53" s="541"/>
      <c r="F53" s="541"/>
      <c r="G53" s="541"/>
      <c r="H53" s="541"/>
      <c r="I53" s="541"/>
      <c r="J53" s="542"/>
      <c r="K53" s="2"/>
      <c r="L53" s="2"/>
      <c r="M53" s="2"/>
      <c r="N53" s="2"/>
      <c r="O53" s="2"/>
      <c r="P53" s="2"/>
      <c r="Q53" s="2"/>
      <c r="R53" s="2"/>
    </row>
    <row r="54" spans="1:18" ht="15.75" customHeight="1">
      <c r="A54" s="549" t="s">
        <v>53</v>
      </c>
      <c r="B54" s="550"/>
      <c r="C54" s="550"/>
      <c r="D54" s="550"/>
      <c r="E54" s="550"/>
      <c r="F54" s="550"/>
      <c r="G54" s="550"/>
      <c r="H54" s="550"/>
      <c r="I54" s="550"/>
      <c r="J54" s="551"/>
      <c r="K54" s="2"/>
      <c r="L54" s="2"/>
      <c r="M54" s="2"/>
      <c r="N54" s="2"/>
      <c r="O54" s="2"/>
      <c r="P54" s="2"/>
      <c r="Q54" s="2"/>
      <c r="R54" s="2"/>
    </row>
    <row r="55" spans="1:18" ht="12" customHeight="1">
      <c r="A55" s="543"/>
      <c r="B55" s="541"/>
      <c r="C55" s="541"/>
      <c r="D55" s="541"/>
      <c r="E55" s="541"/>
      <c r="F55" s="541"/>
      <c r="G55" s="541"/>
      <c r="H55" s="541"/>
      <c r="I55" s="541"/>
      <c r="J55" s="542"/>
      <c r="K55" s="2"/>
      <c r="L55" s="2"/>
      <c r="M55" s="2"/>
      <c r="N55" s="2"/>
      <c r="O55" s="2"/>
      <c r="P55" s="2"/>
      <c r="Q55" s="2"/>
      <c r="R55" s="2"/>
    </row>
    <row r="56" spans="1:18" ht="12" customHeight="1">
      <c r="A56" s="543"/>
      <c r="B56" s="541"/>
      <c r="C56" s="541"/>
      <c r="D56" s="54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23.25" customHeight="1">
      <c r="A57" s="4" t="s">
        <v>54</v>
      </c>
      <c r="B57" s="553" t="s">
        <v>55</v>
      </c>
      <c r="C57" s="541"/>
      <c r="D57" s="54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2" customHeight="1">
      <c r="A58" s="543"/>
      <c r="B58" s="541"/>
      <c r="C58" s="541"/>
      <c r="D58" s="54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2" customHeight="1">
      <c r="A59" s="4" t="s">
        <v>56</v>
      </c>
      <c r="B59" s="553" t="s">
        <v>57</v>
      </c>
      <c r="C59" s="541"/>
      <c r="D59" s="54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2" customHeight="1">
      <c r="A60" s="543"/>
      <c r="B60" s="541"/>
      <c r="C60" s="541"/>
      <c r="D60" s="54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2" customHeight="1">
      <c r="A61" s="4" t="s">
        <v>58</v>
      </c>
      <c r="B61" s="553" t="s">
        <v>59</v>
      </c>
      <c r="C61" s="541"/>
      <c r="D61" s="54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2" customHeight="1">
      <c r="A62" s="543"/>
      <c r="B62" s="541"/>
      <c r="C62" s="541"/>
      <c r="D62" s="54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2" customHeight="1">
      <c r="A63" s="4" t="s">
        <v>60</v>
      </c>
      <c r="B63" s="553" t="s">
        <v>61</v>
      </c>
      <c r="C63" s="541"/>
      <c r="D63" s="54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2" customHeight="1">
      <c r="A64" s="543"/>
      <c r="B64" s="541"/>
      <c r="C64" s="541"/>
      <c r="D64" s="54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2" customHeight="1">
      <c r="A65" s="543"/>
      <c r="B65" s="541"/>
      <c r="C65" s="541"/>
      <c r="D65" s="541"/>
      <c r="E65" s="541"/>
      <c r="F65" s="541"/>
      <c r="G65" s="541"/>
      <c r="H65" s="541"/>
      <c r="I65" s="541"/>
      <c r="J65" s="542"/>
      <c r="K65" s="2"/>
      <c r="L65" s="2"/>
      <c r="M65" s="2"/>
      <c r="N65" s="2"/>
      <c r="O65" s="2"/>
      <c r="P65" s="2"/>
      <c r="Q65" s="2"/>
      <c r="R65" s="2"/>
    </row>
    <row r="66" spans="1:18" ht="15.75" customHeight="1">
      <c r="A66" s="549" t="s">
        <v>62</v>
      </c>
      <c r="B66" s="550"/>
      <c r="C66" s="550"/>
      <c r="D66" s="550"/>
      <c r="E66" s="550"/>
      <c r="F66" s="550"/>
      <c r="G66" s="550"/>
      <c r="H66" s="550"/>
      <c r="I66" s="550"/>
      <c r="J66" s="551"/>
      <c r="K66" s="2"/>
      <c r="L66" s="2"/>
      <c r="M66" s="2"/>
      <c r="N66" s="2"/>
      <c r="O66" s="2"/>
      <c r="P66" s="2"/>
      <c r="Q66" s="2"/>
      <c r="R66" s="2"/>
    </row>
    <row r="67" spans="1:18" ht="12" customHeight="1">
      <c r="A67" s="543"/>
      <c r="B67" s="541"/>
      <c r="C67" s="541"/>
      <c r="D67" s="541"/>
      <c r="E67" s="541"/>
      <c r="F67" s="541"/>
      <c r="G67" s="541"/>
      <c r="H67" s="541"/>
      <c r="I67" s="541"/>
      <c r="J67" s="542"/>
      <c r="K67" s="2"/>
      <c r="L67" s="2"/>
      <c r="M67" s="2"/>
      <c r="N67" s="2"/>
      <c r="O67" s="2"/>
      <c r="P67" s="2"/>
      <c r="Q67" s="2"/>
      <c r="R67" s="2"/>
    </row>
    <row r="68" spans="1:18" ht="12" customHeight="1">
      <c r="A68" s="543"/>
      <c r="B68" s="54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2" customHeight="1">
      <c r="A69" s="4" t="s">
        <v>63</v>
      </c>
      <c r="B69" s="12" t="s">
        <v>64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23.25" customHeight="1">
      <c r="A70" s="4" t="s">
        <v>65</v>
      </c>
      <c r="B70" s="12" t="s">
        <v>66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2" customHeight="1">
      <c r="A71" s="4" t="s">
        <v>67</v>
      </c>
      <c r="B71" s="12" t="s">
        <v>68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2" customHeight="1">
      <c r="A72" s="543"/>
      <c r="B72" s="54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2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5.75" customHeight="1">
      <c r="A74" s="549" t="s">
        <v>69</v>
      </c>
      <c r="B74" s="55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2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23.25" customHeight="1">
      <c r="A76" s="13"/>
      <c r="B76" s="14" t="s">
        <v>32</v>
      </c>
      <c r="C76" s="15" t="s">
        <v>70</v>
      </c>
      <c r="D76" s="15" t="s">
        <v>71</v>
      </c>
      <c r="E76" s="15" t="s">
        <v>72</v>
      </c>
      <c r="F76" s="15" t="s">
        <v>73</v>
      </c>
      <c r="G76" s="15" t="s">
        <v>74</v>
      </c>
      <c r="H76" s="15" t="s">
        <v>75</v>
      </c>
      <c r="I76" s="15" t="s">
        <v>76</v>
      </c>
      <c r="J76" s="15" t="s">
        <v>77</v>
      </c>
      <c r="K76" s="15" t="s">
        <v>78</v>
      </c>
      <c r="L76" s="15" t="s">
        <v>79</v>
      </c>
      <c r="M76" s="2"/>
      <c r="N76" s="2"/>
      <c r="O76" s="2"/>
      <c r="P76" s="2"/>
      <c r="Q76" s="2"/>
      <c r="R76" s="2"/>
    </row>
    <row r="77" spans="1:18" ht="34.5" customHeight="1">
      <c r="A77" s="16"/>
      <c r="B77" s="17"/>
      <c r="C77" s="18" t="s">
        <v>80</v>
      </c>
      <c r="D77" s="18" t="s">
        <v>80</v>
      </c>
      <c r="E77" s="18" t="s">
        <v>80</v>
      </c>
      <c r="F77" s="18" t="s">
        <v>80</v>
      </c>
      <c r="G77" s="18" t="s">
        <v>80</v>
      </c>
      <c r="H77" s="18" t="s">
        <v>80</v>
      </c>
      <c r="I77" s="18" t="s">
        <v>80</v>
      </c>
      <c r="J77" s="18" t="s">
        <v>81</v>
      </c>
      <c r="K77" s="18" t="s">
        <v>81</v>
      </c>
      <c r="L77" s="18" t="s">
        <v>81</v>
      </c>
      <c r="M77" s="2"/>
      <c r="N77" s="2"/>
      <c r="O77" s="2"/>
      <c r="P77" s="2"/>
      <c r="Q77" s="2"/>
      <c r="R77" s="2"/>
    </row>
    <row r="78" spans="1:18" ht="12" customHeight="1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2"/>
      <c r="N78" s="2"/>
      <c r="O78" s="2"/>
      <c r="P78" s="2"/>
      <c r="Q78" s="2"/>
      <c r="R78" s="2"/>
    </row>
    <row r="79" spans="1:18" ht="12" customHeight="1">
      <c r="A79" s="16"/>
      <c r="B79" s="19" t="s">
        <v>82</v>
      </c>
      <c r="C79" s="20">
        <v>14885328</v>
      </c>
      <c r="D79" s="20">
        <v>14294364</v>
      </c>
      <c r="E79" s="20">
        <v>13782014</v>
      </c>
      <c r="F79" s="20">
        <v>11619465</v>
      </c>
      <c r="G79" s="20">
        <v>8552816</v>
      </c>
      <c r="H79" s="20">
        <v>9712939</v>
      </c>
      <c r="I79" s="20">
        <v>10220941</v>
      </c>
      <c r="J79" s="20">
        <v>8912701</v>
      </c>
      <c r="K79" s="20">
        <v>7807091</v>
      </c>
      <c r="L79" s="20">
        <v>6287625</v>
      </c>
      <c r="M79" s="2"/>
      <c r="N79" s="2"/>
      <c r="O79" s="2"/>
      <c r="P79" s="2"/>
      <c r="Q79" s="2"/>
      <c r="R79" s="2"/>
    </row>
    <row r="80" spans="1:18" ht="12" customHeight="1">
      <c r="A80" s="16"/>
      <c r="B80" s="19" t="s">
        <v>83</v>
      </c>
      <c r="C80" s="20">
        <v>1062376</v>
      </c>
      <c r="D80" s="20">
        <v>1513067</v>
      </c>
      <c r="E80" s="20">
        <v>1608701</v>
      </c>
      <c r="F80" s="20">
        <v>1473280</v>
      </c>
      <c r="G80" s="20">
        <v>889518</v>
      </c>
      <c r="H80" s="20">
        <v>701754</v>
      </c>
      <c r="I80" s="20">
        <v>595594</v>
      </c>
      <c r="J80" s="20">
        <v>670640</v>
      </c>
      <c r="K80" s="20">
        <v>532113</v>
      </c>
      <c r="L80" s="20">
        <v>445108</v>
      </c>
      <c r="M80" s="2"/>
      <c r="N80" s="2"/>
      <c r="O80" s="2"/>
      <c r="P80" s="2"/>
      <c r="Q80" s="2"/>
      <c r="R80" s="2"/>
    </row>
    <row r="81" spans="1:18" ht="12" customHeight="1">
      <c r="A81" s="16"/>
      <c r="B81" s="19" t="s">
        <v>84</v>
      </c>
      <c r="C81" s="20">
        <v>160035</v>
      </c>
      <c r="D81" s="20">
        <v>672289</v>
      </c>
      <c r="E81" s="20">
        <v>776780</v>
      </c>
      <c r="F81" s="20">
        <v>513808</v>
      </c>
      <c r="G81" s="20">
        <v>304750</v>
      </c>
      <c r="H81" s="20">
        <v>19704</v>
      </c>
      <c r="I81" s="20">
        <v>209448</v>
      </c>
      <c r="J81" s="20">
        <v>256820</v>
      </c>
      <c r="K81" s="20">
        <v>164166</v>
      </c>
      <c r="L81" s="20">
        <v>124157</v>
      </c>
      <c r="M81" s="2"/>
      <c r="N81" s="2"/>
      <c r="O81" s="2"/>
      <c r="P81" s="2"/>
      <c r="Q81" s="2"/>
      <c r="R81" s="2"/>
    </row>
    <row r="82" spans="1:18" ht="12" customHeight="1">
      <c r="A82" s="16"/>
      <c r="B82" s="19" t="s">
        <v>85</v>
      </c>
      <c r="C82" s="20">
        <v>12930506</v>
      </c>
      <c r="D82" s="20">
        <v>11990730</v>
      </c>
      <c r="E82" s="20">
        <v>10877098</v>
      </c>
      <c r="F82" s="20">
        <v>8985482</v>
      </c>
      <c r="G82" s="20">
        <v>7250567</v>
      </c>
      <c r="H82" s="20">
        <v>6831833</v>
      </c>
      <c r="I82" s="20">
        <v>7194117</v>
      </c>
      <c r="J82" s="20">
        <v>5269792</v>
      </c>
      <c r="K82" s="20">
        <v>4342288</v>
      </c>
      <c r="L82" s="20">
        <v>4392744</v>
      </c>
      <c r="M82" s="2"/>
      <c r="N82" s="2"/>
      <c r="O82" s="2"/>
      <c r="P82" s="2"/>
      <c r="Q82" s="2"/>
      <c r="R82" s="2"/>
    </row>
    <row r="83" spans="1:18" ht="12" customHeight="1">
      <c r="A83" s="16"/>
      <c r="B83" s="19" t="s">
        <v>86</v>
      </c>
      <c r="C83" s="20">
        <v>3089801</v>
      </c>
      <c r="D83" s="20">
        <v>2929765</v>
      </c>
      <c r="E83" s="20">
        <v>2257478</v>
      </c>
      <c r="F83" s="20">
        <v>1480696</v>
      </c>
      <c r="G83" s="20">
        <v>966890</v>
      </c>
      <c r="H83" s="20">
        <v>662137</v>
      </c>
      <c r="I83" s="20">
        <v>642433</v>
      </c>
      <c r="J83" s="20">
        <v>432985</v>
      </c>
      <c r="K83" s="20">
        <v>176166</v>
      </c>
      <c r="L83" s="20">
        <v>320323</v>
      </c>
      <c r="M83" s="2"/>
      <c r="N83" s="2"/>
      <c r="O83" s="2"/>
      <c r="P83" s="2"/>
      <c r="Q83" s="2"/>
      <c r="R83" s="2"/>
    </row>
    <row r="84" spans="1:18" ht="12" customHeight="1">
      <c r="A84" s="16"/>
      <c r="B84" s="19" t="s">
        <v>87</v>
      </c>
      <c r="C84" s="21">
        <v>5455097</v>
      </c>
      <c r="D84" s="21">
        <v>5886637</v>
      </c>
      <c r="E84" s="21">
        <v>4714792</v>
      </c>
      <c r="F84" s="21">
        <v>4399459</v>
      </c>
      <c r="G84" s="21">
        <v>2565050</v>
      </c>
      <c r="H84" s="21">
        <v>2849112</v>
      </c>
      <c r="I84" s="21">
        <v>3938981</v>
      </c>
      <c r="J84" s="21">
        <v>1176954</v>
      </c>
      <c r="K84" s="21">
        <v>749968</v>
      </c>
      <c r="L84" s="21">
        <v>862739</v>
      </c>
      <c r="M84" s="2"/>
      <c r="N84" s="2"/>
      <c r="O84" s="2"/>
      <c r="P84" s="2"/>
      <c r="Q84" s="2"/>
      <c r="R84" s="2"/>
    </row>
    <row r="85" spans="1:18" ht="12" customHeight="1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2"/>
      <c r="N85" s="2"/>
      <c r="O85" s="2"/>
      <c r="P85" s="2"/>
      <c r="Q85" s="2"/>
      <c r="R85" s="2"/>
    </row>
    <row r="86" spans="1:18" ht="12" customHeight="1">
      <c r="A86" s="16"/>
      <c r="B86" s="19" t="s">
        <v>88</v>
      </c>
      <c r="C86" s="21">
        <v>6.9</v>
      </c>
      <c r="D86" s="21">
        <v>10.119999999999999</v>
      </c>
      <c r="E86" s="21">
        <v>11.12</v>
      </c>
      <c r="F86" s="21">
        <v>11.639999999999999</v>
      </c>
      <c r="G86" s="21">
        <v>9.6199999999999992</v>
      </c>
      <c r="H86" s="21">
        <v>6.64</v>
      </c>
      <c r="I86" s="21">
        <v>5.59</v>
      </c>
      <c r="J86" s="21">
        <v>7.24</v>
      </c>
      <c r="K86" s="21">
        <v>6.57</v>
      </c>
      <c r="L86" s="21">
        <v>6.83</v>
      </c>
      <c r="M86" s="2"/>
      <c r="N86" s="2"/>
      <c r="O86" s="2"/>
      <c r="P86" s="2"/>
      <c r="Q86" s="2"/>
      <c r="R86" s="2"/>
    </row>
    <row r="87" spans="1:18" ht="12" customHeight="1">
      <c r="A87" s="16"/>
      <c r="B87" s="19" t="s">
        <v>89</v>
      </c>
      <c r="C87" s="21">
        <v>3.56</v>
      </c>
      <c r="D87" s="21">
        <v>7.4</v>
      </c>
      <c r="E87" s="21">
        <v>8.68</v>
      </c>
      <c r="F87" s="21">
        <v>7.02</v>
      </c>
      <c r="G87" s="21">
        <v>5.92</v>
      </c>
      <c r="H87" s="21">
        <v>2.92</v>
      </c>
      <c r="I87" s="21">
        <v>4.5599999999999996</v>
      </c>
      <c r="J87" s="21">
        <v>5.89</v>
      </c>
      <c r="K87" s="21">
        <v>5.4300000000000006</v>
      </c>
      <c r="L87" s="21">
        <v>5.49</v>
      </c>
      <c r="M87" s="2"/>
      <c r="N87" s="2"/>
      <c r="O87" s="2"/>
      <c r="P87" s="2"/>
      <c r="Q87" s="2"/>
      <c r="R87" s="2"/>
    </row>
    <row r="88" spans="1:18" ht="12" customHeight="1">
      <c r="A88" s="16"/>
      <c r="B88" s="19" t="s">
        <v>90</v>
      </c>
      <c r="C88" s="21">
        <v>4.24</v>
      </c>
      <c r="D88" s="21">
        <v>9.2299999999999986</v>
      </c>
      <c r="E88" s="21">
        <v>11.54</v>
      </c>
      <c r="F88" s="21">
        <v>9.89</v>
      </c>
      <c r="G88" s="21">
        <v>7.54</v>
      </c>
      <c r="H88" s="21">
        <v>4.5199999999999996</v>
      </c>
      <c r="I88" s="21">
        <v>6.75</v>
      </c>
      <c r="J88" s="21">
        <v>10.350000000000001</v>
      </c>
      <c r="K88" s="21">
        <v>10.119999999999999</v>
      </c>
      <c r="L88" s="21">
        <v>8.15</v>
      </c>
      <c r="M88" s="2"/>
      <c r="N88" s="2"/>
      <c r="O88" s="2"/>
      <c r="P88" s="2"/>
      <c r="Q88" s="2"/>
      <c r="R88" s="2"/>
    </row>
    <row r="89" spans="1:18" ht="12" customHeight="1">
      <c r="A89" s="16"/>
      <c r="B89" s="19" t="s">
        <v>91</v>
      </c>
      <c r="C89" s="21">
        <v>5.18</v>
      </c>
      <c r="D89" s="21">
        <v>22.95</v>
      </c>
      <c r="E89" s="21">
        <v>34.409999999999997</v>
      </c>
      <c r="F89" s="21">
        <v>34.700000000000003</v>
      </c>
      <c r="G89" s="21">
        <v>31.52</v>
      </c>
      <c r="H89" s="21">
        <v>2.98</v>
      </c>
      <c r="I89" s="21">
        <v>32.6</v>
      </c>
      <c r="J89" s="21">
        <v>59.309999999999995</v>
      </c>
      <c r="K89" s="21">
        <v>93.19</v>
      </c>
      <c r="L89" s="21">
        <v>38.760000000000005</v>
      </c>
      <c r="M89" s="2"/>
      <c r="N89" s="2"/>
      <c r="O89" s="2"/>
      <c r="P89" s="2"/>
      <c r="Q89" s="2"/>
      <c r="R89" s="2"/>
    </row>
    <row r="90" spans="1:18" ht="12" customHeight="1">
      <c r="A90" s="16"/>
      <c r="B90" s="19" t="s">
        <v>92</v>
      </c>
      <c r="C90" s="21">
        <v>2.16</v>
      </c>
      <c r="D90" s="21">
        <v>2.15</v>
      </c>
      <c r="E90" s="21">
        <v>2.38</v>
      </c>
      <c r="F90" s="21">
        <v>3.03</v>
      </c>
      <c r="G90" s="21">
        <v>3.1</v>
      </c>
      <c r="H90" s="21">
        <v>4.41</v>
      </c>
      <c r="I90" s="21">
        <v>6.2</v>
      </c>
      <c r="J90" s="21">
        <v>2.88</v>
      </c>
      <c r="K90" s="21">
        <v>4.4400000000000004</v>
      </c>
      <c r="L90" s="21">
        <v>2.7600000000000002</v>
      </c>
      <c r="M90" s="2"/>
      <c r="N90" s="2"/>
      <c r="O90" s="2"/>
      <c r="P90" s="2"/>
      <c r="Q90" s="2"/>
      <c r="R90" s="2"/>
    </row>
    <row r="91" spans="1:18" ht="12" customHeight="1">
      <c r="A91" s="16"/>
      <c r="B91" s="19" t="s">
        <v>93</v>
      </c>
      <c r="C91" s="21">
        <v>36.49</v>
      </c>
      <c r="D91" s="21">
        <v>35.17</v>
      </c>
      <c r="E91" s="21">
        <v>28.68</v>
      </c>
      <c r="F91" s="21">
        <v>25.19</v>
      </c>
      <c r="G91" s="21">
        <v>32.449999999999996</v>
      </c>
      <c r="H91" s="21">
        <v>27.67</v>
      </c>
      <c r="I91" s="21">
        <v>25.150000000000002</v>
      </c>
      <c r="J91" s="21">
        <v>13.44</v>
      </c>
      <c r="K91" s="21">
        <v>9.66</v>
      </c>
      <c r="L91" s="21">
        <v>13.55</v>
      </c>
      <c r="M91" s="2"/>
      <c r="N91" s="2"/>
      <c r="O91" s="2"/>
      <c r="P91" s="2"/>
      <c r="Q91" s="2"/>
      <c r="R91" s="2"/>
    </row>
    <row r="92" spans="1:18" ht="12" customHeight="1">
      <c r="A92" s="16"/>
      <c r="B92" s="19" t="s">
        <v>94</v>
      </c>
      <c r="C92" s="21">
        <v>6.28</v>
      </c>
      <c r="D92" s="21">
        <v>4.17</v>
      </c>
      <c r="E92" s="21">
        <v>3.34</v>
      </c>
      <c r="F92" s="21">
        <v>3.05</v>
      </c>
      <c r="G92" s="21">
        <v>3.3699999999999997</v>
      </c>
      <c r="H92" s="21">
        <v>4.1599999999999993</v>
      </c>
      <c r="I92" s="21">
        <v>6.68</v>
      </c>
      <c r="J92" s="21">
        <v>1.86</v>
      </c>
      <c r="K92" s="21">
        <v>1.47</v>
      </c>
      <c r="L92" s="21">
        <v>1.98</v>
      </c>
      <c r="M92" s="2"/>
      <c r="N92" s="2"/>
      <c r="O92" s="2"/>
      <c r="P92" s="2"/>
      <c r="Q92" s="2"/>
      <c r="R92" s="2"/>
    </row>
    <row r="93" spans="1:18" ht="12" customHeight="1">
      <c r="A93" s="16"/>
      <c r="B93" s="19" t="s">
        <v>95</v>
      </c>
      <c r="C93" s="21">
        <v>1.1500000000000001</v>
      </c>
      <c r="D93" s="21">
        <v>1.1900000000000002</v>
      </c>
      <c r="E93" s="21">
        <v>1.27</v>
      </c>
      <c r="F93" s="21">
        <v>1.29</v>
      </c>
      <c r="G93" s="21">
        <v>1.1800000000000002</v>
      </c>
      <c r="H93" s="21">
        <v>1.42</v>
      </c>
      <c r="I93" s="21">
        <v>1.42</v>
      </c>
      <c r="J93" s="21">
        <v>1.6900000000000002</v>
      </c>
      <c r="K93" s="21">
        <v>1.8</v>
      </c>
      <c r="L93" s="21">
        <v>1.43</v>
      </c>
      <c r="M93" s="2"/>
      <c r="N93" s="2"/>
      <c r="O93" s="2"/>
      <c r="P93" s="2"/>
      <c r="Q93" s="2"/>
      <c r="R93" s="2"/>
    </row>
    <row r="94" spans="1:18" ht="12" customHeight="1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2"/>
      <c r="N94" s="2"/>
      <c r="O94" s="2"/>
      <c r="P94" s="2"/>
      <c r="Q94" s="2"/>
      <c r="R94" s="2"/>
    </row>
    <row r="95" spans="1:18" ht="12" customHeight="1">
      <c r="A95" s="16"/>
      <c r="B95" s="19" t="s">
        <v>96</v>
      </c>
      <c r="C95" s="22">
        <v>52</v>
      </c>
      <c r="D95" s="22">
        <v>48</v>
      </c>
      <c r="E95" s="22">
        <v>42</v>
      </c>
      <c r="F95" s="22">
        <v>40</v>
      </c>
      <c r="G95" s="22">
        <v>38</v>
      </c>
      <c r="H95" s="22">
        <v>36</v>
      </c>
      <c r="I95" s="22">
        <v>25</v>
      </c>
      <c r="J95" s="22">
        <v>19</v>
      </c>
      <c r="K95" s="22">
        <v>15</v>
      </c>
      <c r="L95" s="22">
        <v>15</v>
      </c>
      <c r="M95" s="2"/>
      <c r="N95" s="2"/>
      <c r="O95" s="2"/>
      <c r="P95" s="2"/>
      <c r="Q95" s="2"/>
      <c r="R95" s="2"/>
    </row>
    <row r="96" spans="1:18" ht="12" customHeight="1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2"/>
      <c r="N96" s="2"/>
      <c r="O96" s="2"/>
      <c r="P96" s="2"/>
      <c r="Q96" s="2"/>
      <c r="R96" s="2"/>
    </row>
    <row r="97" spans="1:18" ht="12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5.75" customHeight="1">
      <c r="A98" s="549" t="s">
        <v>97</v>
      </c>
      <c r="B98" s="55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2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23.25" customHeight="1">
      <c r="A100" s="13"/>
      <c r="B100" s="14" t="s">
        <v>32</v>
      </c>
      <c r="C100" s="15" t="s">
        <v>70</v>
      </c>
      <c r="D100" s="15" t="s">
        <v>71</v>
      </c>
      <c r="E100" s="15" t="s">
        <v>72</v>
      </c>
      <c r="F100" s="15" t="s">
        <v>73</v>
      </c>
      <c r="G100" s="15" t="s">
        <v>74</v>
      </c>
      <c r="H100" s="15" t="s">
        <v>75</v>
      </c>
      <c r="I100" s="15" t="s">
        <v>76</v>
      </c>
      <c r="J100" s="15" t="s">
        <v>77</v>
      </c>
      <c r="K100" s="15" t="s">
        <v>78</v>
      </c>
      <c r="L100" s="15" t="s">
        <v>79</v>
      </c>
      <c r="M100" s="2"/>
      <c r="N100" s="2"/>
      <c r="O100" s="2"/>
      <c r="P100" s="2"/>
      <c r="Q100" s="2"/>
      <c r="R100" s="2"/>
    </row>
    <row r="101" spans="1:18" ht="34.5" customHeight="1">
      <c r="A101" s="16"/>
      <c r="B101" s="17"/>
      <c r="C101" s="18" t="s">
        <v>80</v>
      </c>
      <c r="D101" s="18" t="s">
        <v>80</v>
      </c>
      <c r="E101" s="18" t="s">
        <v>80</v>
      </c>
      <c r="F101" s="18" t="s">
        <v>80</v>
      </c>
      <c r="G101" s="18" t="s">
        <v>80</v>
      </c>
      <c r="H101" s="18" t="s">
        <v>80</v>
      </c>
      <c r="I101" s="18" t="s">
        <v>80</v>
      </c>
      <c r="J101" s="18" t="s">
        <v>81</v>
      </c>
      <c r="K101" s="18" t="s">
        <v>81</v>
      </c>
      <c r="L101" s="18" t="s">
        <v>81</v>
      </c>
      <c r="M101" s="2"/>
      <c r="N101" s="2"/>
      <c r="O101" s="2"/>
      <c r="P101" s="2"/>
      <c r="Q101" s="2"/>
      <c r="R101" s="2"/>
    </row>
    <row r="102" spans="1:18" ht="12" customHeight="1">
      <c r="A102" s="23"/>
      <c r="B102" s="24" t="s">
        <v>98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"/>
      <c r="N102" s="2"/>
      <c r="O102" s="2"/>
      <c r="P102" s="2"/>
      <c r="Q102" s="2"/>
      <c r="R102" s="2"/>
    </row>
    <row r="103" spans="1:18" ht="12" customHeight="1">
      <c r="A103" s="16"/>
      <c r="B103" s="19" t="s">
        <v>99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"/>
      <c r="N103" s="2"/>
      <c r="O103" s="2"/>
      <c r="P103" s="2"/>
      <c r="Q103" s="2"/>
      <c r="R103" s="2"/>
    </row>
    <row r="104" spans="1:18" ht="12" customHeight="1">
      <c r="A104" s="16"/>
      <c r="B104" s="19" t="s">
        <v>100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"/>
      <c r="N104" s="2"/>
      <c r="O104" s="2"/>
      <c r="P104" s="2"/>
      <c r="Q104" s="2"/>
      <c r="R104" s="2"/>
    </row>
    <row r="105" spans="1:18" ht="12" customHeight="1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2"/>
      <c r="N105" s="2"/>
      <c r="O105" s="2"/>
      <c r="P105" s="2"/>
      <c r="Q105" s="2"/>
      <c r="R105" s="2"/>
    </row>
    <row r="106" spans="1:18" ht="12" customHeight="1">
      <c r="A106" s="16"/>
      <c r="B106" s="19" t="s">
        <v>101</v>
      </c>
      <c r="C106" s="20">
        <v>2157604</v>
      </c>
      <c r="D106" s="20">
        <v>1597153</v>
      </c>
      <c r="E106" s="20">
        <v>1533059</v>
      </c>
      <c r="F106" s="20">
        <v>836581</v>
      </c>
      <c r="G106" s="20">
        <v>563008</v>
      </c>
      <c r="H106" s="20">
        <v>577699</v>
      </c>
      <c r="I106" s="20">
        <v>692542</v>
      </c>
      <c r="J106" s="20">
        <v>644223</v>
      </c>
      <c r="K106" s="20">
        <v>276336</v>
      </c>
      <c r="L106" s="20">
        <v>303839</v>
      </c>
      <c r="M106" s="2"/>
      <c r="N106" s="2"/>
      <c r="O106" s="2"/>
      <c r="P106" s="2"/>
      <c r="Q106" s="2"/>
      <c r="R106" s="2"/>
    </row>
    <row r="107" spans="1:18" ht="12" customHeight="1">
      <c r="A107" s="16"/>
      <c r="B107" s="19" t="s">
        <v>102</v>
      </c>
      <c r="C107" s="20">
        <v>1446204</v>
      </c>
      <c r="D107" s="20">
        <v>947984</v>
      </c>
      <c r="E107" s="20">
        <v>1141024</v>
      </c>
      <c r="F107" s="20">
        <v>494303</v>
      </c>
      <c r="G107" s="20">
        <v>348629</v>
      </c>
      <c r="H107" s="20">
        <v>412309</v>
      </c>
      <c r="I107" s="20">
        <v>438786</v>
      </c>
      <c r="J107" s="20">
        <v>470038</v>
      </c>
      <c r="K107" s="20">
        <v>82026</v>
      </c>
      <c r="L107" s="20">
        <v>117794</v>
      </c>
      <c r="M107" s="2"/>
      <c r="N107" s="2"/>
      <c r="O107" s="2"/>
      <c r="P107" s="2"/>
      <c r="Q107" s="2"/>
      <c r="R107" s="2"/>
    </row>
    <row r="108" spans="1:18" ht="12" customHeight="1">
      <c r="A108" s="16"/>
      <c r="B108" s="19" t="s">
        <v>103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18" t="s">
        <v>104</v>
      </c>
      <c r="K108" s="18" t="s">
        <v>104</v>
      </c>
      <c r="L108" s="18" t="s">
        <v>104</v>
      </c>
      <c r="M108" s="2"/>
      <c r="N108" s="2"/>
      <c r="O108" s="2"/>
      <c r="P108" s="2"/>
      <c r="Q108" s="2"/>
      <c r="R108" s="2"/>
    </row>
    <row r="109" spans="1:18" ht="12" customHeight="1">
      <c r="A109" s="16"/>
      <c r="B109" s="19" t="s">
        <v>105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18" t="s">
        <v>104</v>
      </c>
      <c r="K109" s="18" t="s">
        <v>104</v>
      </c>
      <c r="L109" s="18" t="s">
        <v>104</v>
      </c>
      <c r="M109" s="2"/>
      <c r="N109" s="2"/>
      <c r="O109" s="2"/>
      <c r="P109" s="2"/>
      <c r="Q109" s="2"/>
      <c r="R109" s="2"/>
    </row>
    <row r="110" spans="1:18" ht="12" customHeight="1">
      <c r="A110" s="16"/>
      <c r="B110" s="19" t="s">
        <v>106</v>
      </c>
      <c r="C110" s="20">
        <v>457183</v>
      </c>
      <c r="D110" s="20">
        <v>378595</v>
      </c>
      <c r="E110" s="20">
        <v>502430</v>
      </c>
      <c r="F110" s="20">
        <v>0</v>
      </c>
      <c r="G110" s="20">
        <v>7776</v>
      </c>
      <c r="H110" s="20">
        <v>2500</v>
      </c>
      <c r="I110" s="20">
        <v>8000</v>
      </c>
      <c r="J110" s="18" t="s">
        <v>104</v>
      </c>
      <c r="K110" s="18" t="s">
        <v>104</v>
      </c>
      <c r="L110" s="18" t="s">
        <v>104</v>
      </c>
      <c r="M110" s="2"/>
      <c r="N110" s="2"/>
      <c r="O110" s="2"/>
      <c r="P110" s="2"/>
      <c r="Q110" s="2"/>
      <c r="R110" s="2"/>
    </row>
    <row r="111" spans="1:18" ht="23.25" customHeight="1">
      <c r="A111" s="16"/>
      <c r="B111" s="19" t="s">
        <v>107</v>
      </c>
      <c r="C111" s="20">
        <v>303484</v>
      </c>
      <c r="D111" s="20">
        <v>31737</v>
      </c>
      <c r="E111" s="20">
        <v>30220</v>
      </c>
      <c r="F111" s="20">
        <v>23054</v>
      </c>
      <c r="G111" s="20">
        <v>24644</v>
      </c>
      <c r="H111" s="20">
        <v>22091</v>
      </c>
      <c r="I111" s="20">
        <v>18364</v>
      </c>
      <c r="J111" s="18" t="s">
        <v>104</v>
      </c>
      <c r="K111" s="18" t="s">
        <v>104</v>
      </c>
      <c r="L111" s="18" t="s">
        <v>104</v>
      </c>
      <c r="M111" s="2"/>
      <c r="N111" s="2"/>
      <c r="O111" s="2"/>
      <c r="P111" s="2"/>
      <c r="Q111" s="2"/>
      <c r="R111" s="2"/>
    </row>
    <row r="112" spans="1:18" ht="12" customHeight="1">
      <c r="A112" s="16"/>
      <c r="B112" s="19" t="s">
        <v>108</v>
      </c>
      <c r="C112" s="20">
        <v>0</v>
      </c>
      <c r="D112" s="20">
        <v>320</v>
      </c>
      <c r="E112" s="20">
        <v>755</v>
      </c>
      <c r="F112" s="20">
        <v>1190</v>
      </c>
      <c r="G112" s="20">
        <v>1625</v>
      </c>
      <c r="H112" s="20">
        <v>2059</v>
      </c>
      <c r="I112" s="20">
        <v>2494</v>
      </c>
      <c r="J112" s="18" t="s">
        <v>104</v>
      </c>
      <c r="K112" s="18" t="s">
        <v>104</v>
      </c>
      <c r="L112" s="18" t="s">
        <v>104</v>
      </c>
      <c r="M112" s="2"/>
      <c r="N112" s="2"/>
      <c r="O112" s="2"/>
      <c r="P112" s="2"/>
      <c r="Q112" s="2"/>
      <c r="R112" s="2"/>
    </row>
    <row r="113" spans="1:18" ht="12" customHeight="1">
      <c r="A113" s="16"/>
      <c r="B113" s="19" t="s">
        <v>109</v>
      </c>
      <c r="C113" s="20">
        <v>0</v>
      </c>
      <c r="D113" s="20">
        <v>320</v>
      </c>
      <c r="E113" s="20">
        <v>755</v>
      </c>
      <c r="F113" s="20">
        <v>1190</v>
      </c>
      <c r="G113" s="20">
        <v>1625</v>
      </c>
      <c r="H113" s="20">
        <v>2059</v>
      </c>
      <c r="I113" s="20">
        <v>2494</v>
      </c>
      <c r="J113" s="18" t="s">
        <v>104</v>
      </c>
      <c r="K113" s="18" t="s">
        <v>104</v>
      </c>
      <c r="L113" s="18" t="s">
        <v>104</v>
      </c>
      <c r="M113" s="2"/>
      <c r="N113" s="2"/>
      <c r="O113" s="2"/>
      <c r="P113" s="2"/>
      <c r="Q113" s="2"/>
      <c r="R113" s="2"/>
    </row>
    <row r="114" spans="1:18" ht="12" customHeight="1">
      <c r="A114" s="16"/>
      <c r="B114" s="19" t="s">
        <v>110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18" t="s">
        <v>104</v>
      </c>
      <c r="K114" s="18" t="s">
        <v>104</v>
      </c>
      <c r="L114" s="18" t="s">
        <v>104</v>
      </c>
      <c r="M114" s="2"/>
      <c r="N114" s="2"/>
      <c r="O114" s="2"/>
      <c r="P114" s="2"/>
      <c r="Q114" s="2"/>
      <c r="R114" s="2"/>
    </row>
    <row r="115" spans="1:18" ht="12" customHeight="1">
      <c r="A115" s="16"/>
      <c r="B115" s="19" t="s">
        <v>111</v>
      </c>
      <c r="C115" s="20">
        <v>685537</v>
      </c>
      <c r="D115" s="20">
        <v>537332</v>
      </c>
      <c r="E115" s="20">
        <v>607619</v>
      </c>
      <c r="F115" s="20">
        <v>470059</v>
      </c>
      <c r="G115" s="20">
        <v>314584</v>
      </c>
      <c r="H115" s="20">
        <v>385659</v>
      </c>
      <c r="I115" s="20">
        <v>409928</v>
      </c>
      <c r="J115" s="18" t="s">
        <v>104</v>
      </c>
      <c r="K115" s="18" t="s">
        <v>104</v>
      </c>
      <c r="L115" s="18" t="s">
        <v>104</v>
      </c>
      <c r="M115" s="2"/>
      <c r="N115" s="2"/>
      <c r="O115" s="2"/>
      <c r="P115" s="2"/>
      <c r="Q115" s="2"/>
      <c r="R115" s="2"/>
    </row>
    <row r="116" spans="1:18" ht="12" customHeight="1">
      <c r="A116" s="16"/>
      <c r="B116" s="19" t="s">
        <v>112</v>
      </c>
      <c r="C116" s="18" t="s">
        <v>104</v>
      </c>
      <c r="D116" s="18" t="s">
        <v>104</v>
      </c>
      <c r="E116" s="18" t="s">
        <v>104</v>
      </c>
      <c r="F116" s="18" t="s">
        <v>104</v>
      </c>
      <c r="G116" s="18" t="s">
        <v>104</v>
      </c>
      <c r="H116" s="18" t="s">
        <v>104</v>
      </c>
      <c r="I116" s="18" t="s">
        <v>104</v>
      </c>
      <c r="J116" s="20">
        <v>637202</v>
      </c>
      <c r="K116" s="20">
        <v>560857</v>
      </c>
      <c r="L116" s="20">
        <v>516308</v>
      </c>
      <c r="M116" s="2"/>
      <c r="N116" s="2"/>
      <c r="O116" s="2"/>
      <c r="P116" s="2"/>
      <c r="Q116" s="2"/>
      <c r="R116" s="2"/>
    </row>
    <row r="117" spans="1:18" ht="12" customHeight="1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2"/>
      <c r="N117" s="2"/>
      <c r="O117" s="2"/>
      <c r="P117" s="2"/>
      <c r="Q117" s="2"/>
      <c r="R117" s="2"/>
    </row>
    <row r="118" spans="1:18" ht="12" customHeight="1">
      <c r="A118" s="16"/>
      <c r="B118" s="19" t="s">
        <v>113</v>
      </c>
      <c r="C118" s="20">
        <v>661130</v>
      </c>
      <c r="D118" s="20">
        <v>598899</v>
      </c>
      <c r="E118" s="20">
        <v>341765</v>
      </c>
      <c r="F118" s="20">
        <v>292008</v>
      </c>
      <c r="G118" s="20">
        <v>164109</v>
      </c>
      <c r="H118" s="20">
        <v>115120</v>
      </c>
      <c r="I118" s="20">
        <v>114391</v>
      </c>
      <c r="J118" s="20">
        <v>123915</v>
      </c>
      <c r="K118" s="20">
        <v>144040</v>
      </c>
      <c r="L118" s="20">
        <v>160775</v>
      </c>
      <c r="M118" s="2"/>
      <c r="N118" s="2"/>
      <c r="O118" s="2"/>
      <c r="P118" s="2"/>
      <c r="Q118" s="2"/>
      <c r="R118" s="2"/>
    </row>
    <row r="119" spans="1:18" ht="12" customHeight="1">
      <c r="A119" s="16"/>
      <c r="B119" s="19" t="s">
        <v>114</v>
      </c>
      <c r="C119" s="18" t="s">
        <v>104</v>
      </c>
      <c r="D119" s="18" t="s">
        <v>104</v>
      </c>
      <c r="E119" s="18" t="s">
        <v>104</v>
      </c>
      <c r="F119" s="18" t="s">
        <v>104</v>
      </c>
      <c r="G119" s="18" t="s">
        <v>104</v>
      </c>
      <c r="H119" s="18" t="s">
        <v>104</v>
      </c>
      <c r="I119" s="18" t="s">
        <v>104</v>
      </c>
      <c r="J119" s="18" t="s">
        <v>104</v>
      </c>
      <c r="K119" s="18" t="s">
        <v>104</v>
      </c>
      <c r="L119" s="18" t="s">
        <v>104</v>
      </c>
      <c r="M119" s="2"/>
      <c r="N119" s="2"/>
      <c r="O119" s="2"/>
      <c r="P119" s="2"/>
      <c r="Q119" s="2"/>
      <c r="R119" s="2"/>
    </row>
    <row r="120" spans="1:18" ht="12" customHeight="1">
      <c r="A120" s="16"/>
      <c r="B120" s="19" t="s">
        <v>115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18" t="s">
        <v>104</v>
      </c>
      <c r="K120" s="18" t="s">
        <v>104</v>
      </c>
      <c r="L120" s="18" t="s">
        <v>104</v>
      </c>
      <c r="M120" s="2"/>
      <c r="N120" s="2"/>
      <c r="O120" s="2"/>
      <c r="P120" s="2"/>
      <c r="Q120" s="2"/>
      <c r="R120" s="2"/>
    </row>
    <row r="121" spans="1:18" ht="12" customHeight="1">
      <c r="A121" s="16"/>
      <c r="B121" s="19" t="s">
        <v>116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18" t="s">
        <v>104</v>
      </c>
      <c r="K121" s="18" t="s">
        <v>104</v>
      </c>
      <c r="L121" s="18" t="s">
        <v>104</v>
      </c>
      <c r="M121" s="2"/>
      <c r="N121" s="2"/>
      <c r="O121" s="2"/>
      <c r="P121" s="2"/>
      <c r="Q121" s="2"/>
      <c r="R121" s="2"/>
    </row>
    <row r="122" spans="1:18" ht="12" customHeight="1">
      <c r="A122" s="16"/>
      <c r="B122" s="19" t="s">
        <v>117</v>
      </c>
      <c r="C122" s="20">
        <v>566644</v>
      </c>
      <c r="D122" s="20">
        <v>473049</v>
      </c>
      <c r="E122" s="20">
        <v>315454</v>
      </c>
      <c r="F122" s="20">
        <v>271989</v>
      </c>
      <c r="G122" s="20">
        <v>103437</v>
      </c>
      <c r="H122" s="20">
        <v>97013</v>
      </c>
      <c r="I122" s="20">
        <v>89836</v>
      </c>
      <c r="J122" s="18" t="s">
        <v>104</v>
      </c>
      <c r="K122" s="18" t="s">
        <v>104</v>
      </c>
      <c r="L122" s="18" t="s">
        <v>104</v>
      </c>
      <c r="M122" s="2"/>
      <c r="N122" s="2"/>
      <c r="O122" s="2"/>
      <c r="P122" s="2"/>
      <c r="Q122" s="2"/>
      <c r="R122" s="2"/>
    </row>
    <row r="123" spans="1:18" ht="12" customHeight="1">
      <c r="A123" s="16"/>
      <c r="B123" s="19" t="s">
        <v>118</v>
      </c>
      <c r="C123" s="20">
        <v>94486</v>
      </c>
      <c r="D123" s="20">
        <v>125850</v>
      </c>
      <c r="E123" s="20">
        <v>26311</v>
      </c>
      <c r="F123" s="20">
        <v>20019</v>
      </c>
      <c r="G123" s="20">
        <v>60672</v>
      </c>
      <c r="H123" s="20">
        <v>18107</v>
      </c>
      <c r="I123" s="20">
        <v>24555</v>
      </c>
      <c r="J123" s="18" t="s">
        <v>104</v>
      </c>
      <c r="K123" s="18" t="s">
        <v>104</v>
      </c>
      <c r="L123" s="18" t="s">
        <v>104</v>
      </c>
      <c r="M123" s="2"/>
      <c r="N123" s="2"/>
      <c r="O123" s="2"/>
      <c r="P123" s="2"/>
      <c r="Q123" s="2"/>
      <c r="R123" s="2"/>
    </row>
    <row r="124" spans="1:18" ht="12" customHeight="1">
      <c r="A124" s="16"/>
      <c r="B124" s="19" t="s">
        <v>119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18" t="s">
        <v>104</v>
      </c>
      <c r="K124" s="18" t="s">
        <v>104</v>
      </c>
      <c r="L124" s="18" t="s">
        <v>104</v>
      </c>
      <c r="M124" s="2"/>
      <c r="N124" s="2"/>
      <c r="O124" s="2"/>
      <c r="P124" s="2"/>
      <c r="Q124" s="2"/>
      <c r="R124" s="2"/>
    </row>
    <row r="125" spans="1:18" ht="12" customHeight="1">
      <c r="A125" s="16"/>
      <c r="B125" s="19" t="s">
        <v>120</v>
      </c>
      <c r="C125" s="18" t="s">
        <v>104</v>
      </c>
      <c r="D125" s="18" t="s">
        <v>104</v>
      </c>
      <c r="E125" s="18" t="s">
        <v>104</v>
      </c>
      <c r="F125" s="18" t="s">
        <v>104</v>
      </c>
      <c r="G125" s="18" t="s">
        <v>104</v>
      </c>
      <c r="H125" s="18" t="s">
        <v>104</v>
      </c>
      <c r="I125" s="18" t="s">
        <v>104</v>
      </c>
      <c r="J125" s="20">
        <v>341146</v>
      </c>
      <c r="K125" s="20">
        <v>293996</v>
      </c>
      <c r="L125" s="20">
        <v>245698</v>
      </c>
      <c r="M125" s="2"/>
      <c r="N125" s="2"/>
      <c r="O125" s="2"/>
      <c r="P125" s="2"/>
      <c r="Q125" s="2"/>
      <c r="R125" s="2"/>
    </row>
    <row r="126" spans="1:18" ht="12" customHeight="1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2"/>
      <c r="N126" s="2"/>
      <c r="O126" s="2"/>
      <c r="P126" s="2"/>
      <c r="Q126" s="2"/>
      <c r="R126" s="2"/>
    </row>
    <row r="127" spans="1:18" ht="12" customHeight="1">
      <c r="A127" s="16"/>
      <c r="B127" s="19" t="s">
        <v>121</v>
      </c>
      <c r="C127" s="20">
        <v>50270</v>
      </c>
      <c r="D127" s="20">
        <v>50270</v>
      </c>
      <c r="E127" s="20">
        <v>50270</v>
      </c>
      <c r="F127" s="20">
        <v>50270</v>
      </c>
      <c r="G127" s="20">
        <v>50270</v>
      </c>
      <c r="H127" s="20">
        <v>50270</v>
      </c>
      <c r="I127" s="20">
        <v>139365</v>
      </c>
      <c r="J127" s="20">
        <v>50270</v>
      </c>
      <c r="K127" s="20">
        <v>50270</v>
      </c>
      <c r="L127" s="20">
        <v>25270</v>
      </c>
      <c r="M127" s="2"/>
      <c r="N127" s="2"/>
      <c r="O127" s="2"/>
      <c r="P127" s="2"/>
      <c r="Q127" s="2"/>
      <c r="R127" s="2"/>
    </row>
    <row r="128" spans="1:18" ht="12" customHeight="1">
      <c r="A128" s="16"/>
      <c r="B128" s="19" t="s">
        <v>122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18" t="s">
        <v>104</v>
      </c>
      <c r="K128" s="18" t="s">
        <v>104</v>
      </c>
      <c r="L128" s="18" t="s">
        <v>104</v>
      </c>
      <c r="M128" s="2"/>
      <c r="N128" s="2"/>
      <c r="O128" s="2"/>
      <c r="P128" s="2"/>
      <c r="Q128" s="2"/>
      <c r="R128" s="2"/>
    </row>
    <row r="129" spans="1:18" ht="12" customHeight="1">
      <c r="A129" s="16"/>
      <c r="B129" s="19" t="s">
        <v>123</v>
      </c>
      <c r="C129" s="20">
        <v>50270</v>
      </c>
      <c r="D129" s="20">
        <v>50270</v>
      </c>
      <c r="E129" s="20">
        <v>50270</v>
      </c>
      <c r="F129" s="20">
        <v>50270</v>
      </c>
      <c r="G129" s="20">
        <v>50270</v>
      </c>
      <c r="H129" s="20">
        <v>50270</v>
      </c>
      <c r="I129" s="20">
        <v>139365</v>
      </c>
      <c r="J129" s="18" t="s">
        <v>104</v>
      </c>
      <c r="K129" s="18" t="s">
        <v>104</v>
      </c>
      <c r="L129" s="18" t="s">
        <v>104</v>
      </c>
      <c r="M129" s="2"/>
      <c r="N129" s="2"/>
      <c r="O129" s="2"/>
      <c r="P129" s="2"/>
      <c r="Q129" s="2"/>
      <c r="R129" s="2"/>
    </row>
    <row r="130" spans="1:18" ht="12" customHeight="1">
      <c r="A130" s="16"/>
      <c r="B130" s="19" t="s">
        <v>124</v>
      </c>
      <c r="C130" s="20">
        <v>50000</v>
      </c>
      <c r="D130" s="20">
        <v>50000</v>
      </c>
      <c r="E130" s="20">
        <v>50000</v>
      </c>
      <c r="F130" s="20">
        <v>50000</v>
      </c>
      <c r="G130" s="20">
        <v>50000</v>
      </c>
      <c r="H130" s="20">
        <v>50000</v>
      </c>
      <c r="I130" s="20">
        <v>139095</v>
      </c>
      <c r="J130" s="18" t="s">
        <v>104</v>
      </c>
      <c r="K130" s="18" t="s">
        <v>104</v>
      </c>
      <c r="L130" s="18" t="s">
        <v>104</v>
      </c>
      <c r="M130" s="2"/>
      <c r="N130" s="2"/>
      <c r="O130" s="2"/>
      <c r="P130" s="2"/>
      <c r="Q130" s="2"/>
      <c r="R130" s="2"/>
    </row>
    <row r="131" spans="1:18" ht="12" customHeight="1">
      <c r="A131" s="16"/>
      <c r="B131" s="19" t="s">
        <v>125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18" t="s">
        <v>104</v>
      </c>
      <c r="K131" s="18" t="s">
        <v>104</v>
      </c>
      <c r="L131" s="18" t="s">
        <v>104</v>
      </c>
      <c r="M131" s="2"/>
      <c r="N131" s="2"/>
      <c r="O131" s="2"/>
      <c r="P131" s="2"/>
      <c r="Q131" s="2"/>
      <c r="R131" s="2"/>
    </row>
    <row r="132" spans="1:18" ht="12" customHeight="1">
      <c r="A132" s="16"/>
      <c r="B132" s="19" t="s">
        <v>126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18" t="s">
        <v>104</v>
      </c>
      <c r="K132" s="18" t="s">
        <v>104</v>
      </c>
      <c r="L132" s="18" t="s">
        <v>104</v>
      </c>
      <c r="M132" s="2"/>
      <c r="N132" s="2"/>
      <c r="O132" s="2"/>
      <c r="P132" s="2"/>
      <c r="Q132" s="2"/>
      <c r="R132" s="2"/>
    </row>
    <row r="133" spans="1:18" ht="23.25" customHeight="1">
      <c r="A133" s="16"/>
      <c r="B133" s="19" t="s">
        <v>127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18" t="s">
        <v>104</v>
      </c>
      <c r="K133" s="18" t="s">
        <v>104</v>
      </c>
      <c r="L133" s="18" t="s">
        <v>104</v>
      </c>
      <c r="M133" s="2"/>
      <c r="N133" s="2"/>
      <c r="O133" s="2"/>
      <c r="P133" s="2"/>
      <c r="Q133" s="2"/>
      <c r="R133" s="2"/>
    </row>
    <row r="134" spans="1:18" ht="12" customHeight="1">
      <c r="A134" s="16"/>
      <c r="B134" s="19" t="s">
        <v>128</v>
      </c>
      <c r="C134" s="20">
        <v>270</v>
      </c>
      <c r="D134" s="20">
        <v>270</v>
      </c>
      <c r="E134" s="20">
        <v>270</v>
      </c>
      <c r="F134" s="20">
        <v>270</v>
      </c>
      <c r="G134" s="20">
        <v>270</v>
      </c>
      <c r="H134" s="20">
        <v>270</v>
      </c>
      <c r="I134" s="20">
        <v>270</v>
      </c>
      <c r="J134" s="18" t="s">
        <v>104</v>
      </c>
      <c r="K134" s="18" t="s">
        <v>104</v>
      </c>
      <c r="L134" s="18" t="s">
        <v>104</v>
      </c>
      <c r="M134" s="2"/>
      <c r="N134" s="2"/>
      <c r="O134" s="2"/>
      <c r="P134" s="2"/>
      <c r="Q134" s="2"/>
      <c r="R134" s="2"/>
    </row>
    <row r="135" spans="1:18" ht="12" customHeight="1">
      <c r="A135" s="16"/>
      <c r="B135" s="19" t="s">
        <v>129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18" t="s">
        <v>104</v>
      </c>
      <c r="K135" s="18" t="s">
        <v>104</v>
      </c>
      <c r="L135" s="20">
        <v>0</v>
      </c>
      <c r="M135" s="2"/>
      <c r="N135" s="2"/>
      <c r="O135" s="2"/>
      <c r="P135" s="2"/>
      <c r="Q135" s="2"/>
      <c r="R135" s="2"/>
    </row>
    <row r="136" spans="1:18" ht="12" customHeight="1">
      <c r="A136" s="16"/>
      <c r="B136" s="19" t="s">
        <v>130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18" t="s">
        <v>104</v>
      </c>
      <c r="K136" s="18" t="s">
        <v>104</v>
      </c>
      <c r="L136" s="20">
        <v>0</v>
      </c>
      <c r="M136" s="2"/>
      <c r="N136" s="2"/>
      <c r="O136" s="2"/>
      <c r="P136" s="2"/>
      <c r="Q136" s="2"/>
      <c r="R136" s="2"/>
    </row>
    <row r="137" spans="1:18" ht="23.25" customHeight="1">
      <c r="A137" s="16"/>
      <c r="B137" s="19" t="s">
        <v>131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18" t="s">
        <v>104</v>
      </c>
      <c r="K137" s="18" t="s">
        <v>104</v>
      </c>
      <c r="L137" s="20">
        <v>0</v>
      </c>
      <c r="M137" s="2"/>
      <c r="N137" s="2"/>
      <c r="O137" s="2"/>
      <c r="P137" s="2"/>
      <c r="Q137" s="2"/>
      <c r="R137" s="2"/>
    </row>
    <row r="138" spans="1:18" ht="12" customHeight="1">
      <c r="A138" s="16"/>
      <c r="B138" s="19" t="s">
        <v>132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18" t="s">
        <v>104</v>
      </c>
      <c r="K138" s="18" t="s">
        <v>104</v>
      </c>
      <c r="L138" s="20">
        <v>0</v>
      </c>
      <c r="M138" s="2"/>
      <c r="N138" s="2"/>
      <c r="O138" s="2"/>
      <c r="P138" s="2"/>
      <c r="Q138" s="2"/>
      <c r="R138" s="2"/>
    </row>
    <row r="139" spans="1:18" ht="23.25" customHeight="1">
      <c r="A139" s="16"/>
      <c r="B139" s="19" t="s">
        <v>133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18" t="s">
        <v>104</v>
      </c>
      <c r="K139" s="18" t="s">
        <v>104</v>
      </c>
      <c r="L139" s="20">
        <v>0</v>
      </c>
      <c r="M139" s="2"/>
      <c r="N139" s="2"/>
      <c r="O139" s="2"/>
      <c r="P139" s="2"/>
      <c r="Q139" s="2"/>
      <c r="R139" s="2"/>
    </row>
    <row r="140" spans="1:18" ht="12" customHeight="1">
      <c r="A140" s="16"/>
      <c r="B140" s="19" t="s">
        <v>134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18" t="s">
        <v>104</v>
      </c>
      <c r="K140" s="18" t="s">
        <v>104</v>
      </c>
      <c r="L140" s="20">
        <v>0</v>
      </c>
      <c r="M140" s="2"/>
      <c r="N140" s="2"/>
      <c r="O140" s="2"/>
      <c r="P140" s="2"/>
      <c r="Q140" s="2"/>
      <c r="R140" s="2"/>
    </row>
    <row r="141" spans="1:18" ht="23.25" customHeight="1">
      <c r="A141" s="16"/>
      <c r="B141" s="19" t="s">
        <v>135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18" t="s">
        <v>104</v>
      </c>
      <c r="K141" s="18" t="s">
        <v>104</v>
      </c>
      <c r="L141" s="20">
        <v>0</v>
      </c>
      <c r="M141" s="2"/>
      <c r="N141" s="2"/>
      <c r="O141" s="2"/>
      <c r="P141" s="2"/>
      <c r="Q141" s="2"/>
      <c r="R141" s="2"/>
    </row>
    <row r="142" spans="1:18" ht="23.25" customHeight="1">
      <c r="A142" s="16"/>
      <c r="B142" s="19" t="s">
        <v>136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18" t="s">
        <v>104</v>
      </c>
      <c r="K142" s="18" t="s">
        <v>104</v>
      </c>
      <c r="L142" s="18" t="s">
        <v>104</v>
      </c>
      <c r="M142" s="2"/>
      <c r="N142" s="2"/>
      <c r="O142" s="2"/>
      <c r="P142" s="2"/>
      <c r="Q142" s="2"/>
      <c r="R142" s="2"/>
    </row>
    <row r="143" spans="1:18" ht="23.25" customHeight="1">
      <c r="A143" s="16"/>
      <c r="B143" s="19" t="s">
        <v>137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18" t="s">
        <v>104</v>
      </c>
      <c r="K143" s="18" t="s">
        <v>104</v>
      </c>
      <c r="L143" s="18" t="s">
        <v>104</v>
      </c>
      <c r="M143" s="2"/>
      <c r="N143" s="2"/>
      <c r="O143" s="2"/>
      <c r="P143" s="2"/>
      <c r="Q143" s="2"/>
      <c r="R143" s="2"/>
    </row>
    <row r="144" spans="1:18" ht="12" customHeight="1">
      <c r="A144" s="16"/>
      <c r="B144" s="19" t="s">
        <v>138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18" t="s">
        <v>104</v>
      </c>
      <c r="K144" s="18" t="s">
        <v>104</v>
      </c>
      <c r="L144" s="20">
        <v>0</v>
      </c>
      <c r="M144" s="2"/>
      <c r="N144" s="2"/>
      <c r="O144" s="2"/>
      <c r="P144" s="2"/>
      <c r="Q144" s="2"/>
      <c r="R144" s="2"/>
    </row>
    <row r="145" spans="1:18" ht="23.25" customHeight="1">
      <c r="A145" s="16"/>
      <c r="B145" s="19" t="s">
        <v>139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18" t="s">
        <v>104</v>
      </c>
      <c r="K145" s="18" t="s">
        <v>104</v>
      </c>
      <c r="L145" s="20">
        <v>0</v>
      </c>
      <c r="M145" s="2"/>
      <c r="N145" s="2"/>
      <c r="O145" s="2"/>
      <c r="P145" s="2"/>
      <c r="Q145" s="2"/>
      <c r="R145" s="2"/>
    </row>
    <row r="146" spans="1:18" ht="12" customHeight="1">
      <c r="A146" s="16"/>
      <c r="B146" s="19" t="s">
        <v>140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18" t="s">
        <v>104</v>
      </c>
      <c r="K146" s="18" t="s">
        <v>104</v>
      </c>
      <c r="L146" s="20">
        <v>0</v>
      </c>
      <c r="M146" s="2"/>
      <c r="N146" s="2"/>
      <c r="O146" s="2"/>
      <c r="P146" s="2"/>
      <c r="Q146" s="2"/>
      <c r="R146" s="2"/>
    </row>
    <row r="147" spans="1:18" ht="12" customHeight="1">
      <c r="A147" s="16"/>
      <c r="B147" s="19" t="s">
        <v>141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18" t="s">
        <v>104</v>
      </c>
      <c r="K147" s="18" t="s">
        <v>104</v>
      </c>
      <c r="L147" s="20">
        <v>0</v>
      </c>
      <c r="M147" s="2"/>
      <c r="N147" s="2"/>
      <c r="O147" s="2"/>
      <c r="P147" s="2"/>
      <c r="Q147" s="2"/>
      <c r="R147" s="2"/>
    </row>
    <row r="148" spans="1:18" ht="12" customHeight="1">
      <c r="A148" s="16"/>
      <c r="B148" s="19" t="s">
        <v>142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18" t="s">
        <v>104</v>
      </c>
      <c r="K148" s="18" t="s">
        <v>104</v>
      </c>
      <c r="L148" s="18" t="s">
        <v>104</v>
      </c>
      <c r="M148" s="2"/>
      <c r="N148" s="2"/>
      <c r="O148" s="2"/>
      <c r="P148" s="2"/>
      <c r="Q148" s="2"/>
      <c r="R148" s="2"/>
    </row>
    <row r="149" spans="1:18" ht="12" customHeight="1">
      <c r="A149" s="16"/>
      <c r="B149" s="19" t="s">
        <v>143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18" t="s">
        <v>104</v>
      </c>
      <c r="K149" s="18" t="s">
        <v>104</v>
      </c>
      <c r="L149" s="18" t="s">
        <v>104</v>
      </c>
      <c r="M149" s="2"/>
      <c r="N149" s="2"/>
      <c r="O149" s="2"/>
      <c r="P149" s="2"/>
      <c r="Q149" s="2"/>
      <c r="R149" s="2"/>
    </row>
    <row r="150" spans="1:18" ht="12" customHeight="1">
      <c r="A150" s="16"/>
      <c r="B150" s="19" t="s">
        <v>144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18" t="s">
        <v>104</v>
      </c>
      <c r="K150" s="18" t="s">
        <v>104</v>
      </c>
      <c r="L150" s="18" t="s">
        <v>104</v>
      </c>
      <c r="M150" s="2"/>
      <c r="N150" s="2"/>
      <c r="O150" s="2"/>
      <c r="P150" s="2"/>
      <c r="Q150" s="2"/>
      <c r="R150" s="2"/>
    </row>
    <row r="151" spans="1:18" ht="12" customHeight="1">
      <c r="A151" s="16"/>
      <c r="B151" s="19" t="s">
        <v>145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18" t="s">
        <v>104</v>
      </c>
      <c r="K151" s="18" t="s">
        <v>104</v>
      </c>
      <c r="L151" s="18" t="s">
        <v>104</v>
      </c>
      <c r="M151" s="2"/>
      <c r="N151" s="2"/>
      <c r="O151" s="2"/>
      <c r="P151" s="2"/>
      <c r="Q151" s="2"/>
      <c r="R151" s="2"/>
    </row>
    <row r="152" spans="1:18" ht="12" customHeight="1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2"/>
      <c r="N152" s="2"/>
      <c r="O152" s="2"/>
      <c r="P152" s="2"/>
      <c r="Q152" s="2"/>
      <c r="R152" s="2"/>
    </row>
    <row r="153" spans="1:18" ht="12" customHeight="1">
      <c r="A153" s="16"/>
      <c r="B153" s="19" t="s">
        <v>146</v>
      </c>
      <c r="C153" s="20">
        <v>10064331</v>
      </c>
      <c r="D153" s="20">
        <v>9755811</v>
      </c>
      <c r="E153" s="20">
        <v>8635709</v>
      </c>
      <c r="F153" s="20">
        <v>7699798</v>
      </c>
      <c r="G153" s="20">
        <v>5839519</v>
      </c>
      <c r="H153" s="20">
        <v>5014923</v>
      </c>
      <c r="I153" s="20">
        <v>5109244</v>
      </c>
      <c r="J153" s="20">
        <v>3195963</v>
      </c>
      <c r="K153" s="20">
        <v>2827480</v>
      </c>
      <c r="L153" s="20">
        <v>2693106</v>
      </c>
      <c r="M153" s="2"/>
      <c r="N153" s="2"/>
      <c r="O153" s="2"/>
      <c r="P153" s="2"/>
      <c r="Q153" s="2"/>
      <c r="R153" s="2"/>
    </row>
    <row r="154" spans="1:18" ht="12" customHeight="1">
      <c r="A154" s="16"/>
      <c r="B154" s="19" t="s">
        <v>147</v>
      </c>
      <c r="C154" s="20">
        <v>3214266</v>
      </c>
      <c r="D154" s="20">
        <v>2962879</v>
      </c>
      <c r="E154" s="20">
        <v>2892260</v>
      </c>
      <c r="F154" s="20">
        <v>2153497</v>
      </c>
      <c r="G154" s="20">
        <v>1885278</v>
      </c>
      <c r="H154" s="20">
        <v>1244471</v>
      </c>
      <c r="I154" s="20">
        <v>972112</v>
      </c>
      <c r="J154" s="20">
        <v>720795</v>
      </c>
      <c r="K154" s="20">
        <v>569996</v>
      </c>
      <c r="L154" s="20">
        <v>508808</v>
      </c>
      <c r="M154" s="2"/>
      <c r="N154" s="2"/>
      <c r="O154" s="2"/>
      <c r="P154" s="2"/>
      <c r="Q154" s="2"/>
      <c r="R154" s="2"/>
    </row>
    <row r="155" spans="1:18" ht="12" customHeight="1">
      <c r="A155" s="16"/>
      <c r="B155" s="19" t="s">
        <v>148</v>
      </c>
      <c r="C155" s="20">
        <v>646624</v>
      </c>
      <c r="D155" s="20">
        <v>439748</v>
      </c>
      <c r="E155" s="20">
        <v>529813</v>
      </c>
      <c r="F155" s="20">
        <v>680791</v>
      </c>
      <c r="G155" s="20">
        <v>94185</v>
      </c>
      <c r="H155" s="20">
        <v>110153</v>
      </c>
      <c r="I155" s="20">
        <v>165360</v>
      </c>
      <c r="J155" s="20">
        <v>164297</v>
      </c>
      <c r="K155" s="20">
        <v>177429</v>
      </c>
      <c r="L155" s="20">
        <v>237481</v>
      </c>
      <c r="M155" s="2"/>
      <c r="N155" s="2"/>
      <c r="O155" s="2"/>
      <c r="P155" s="2"/>
      <c r="Q155" s="2"/>
      <c r="R155" s="2"/>
    </row>
    <row r="156" spans="1:18" ht="23.25" customHeight="1">
      <c r="A156" s="16"/>
      <c r="B156" s="19" t="s">
        <v>149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"/>
      <c r="N156" s="2"/>
      <c r="O156" s="2"/>
      <c r="P156" s="2"/>
      <c r="Q156" s="2"/>
      <c r="R156" s="2"/>
    </row>
    <row r="157" spans="1:18" ht="12" customHeight="1">
      <c r="A157" s="16"/>
      <c r="B157" s="19" t="s">
        <v>150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"/>
      <c r="N157" s="2"/>
      <c r="O157" s="2"/>
      <c r="P157" s="2"/>
      <c r="Q157" s="2"/>
      <c r="R157" s="2"/>
    </row>
    <row r="158" spans="1:18" ht="12" customHeight="1">
      <c r="A158" s="16"/>
      <c r="B158" s="19" t="s">
        <v>151</v>
      </c>
      <c r="C158" s="20">
        <v>2567642</v>
      </c>
      <c r="D158" s="20">
        <v>2523131</v>
      </c>
      <c r="E158" s="20">
        <v>2362447</v>
      </c>
      <c r="F158" s="20">
        <v>1472706</v>
      </c>
      <c r="G158" s="20">
        <v>1791093</v>
      </c>
      <c r="H158" s="20">
        <v>1134318</v>
      </c>
      <c r="I158" s="20">
        <v>806752</v>
      </c>
      <c r="J158" s="20">
        <v>556498</v>
      </c>
      <c r="K158" s="20">
        <v>392567</v>
      </c>
      <c r="L158" s="20">
        <v>271327</v>
      </c>
      <c r="M158" s="2"/>
      <c r="N158" s="2"/>
      <c r="O158" s="2"/>
      <c r="P158" s="2"/>
      <c r="Q158" s="2"/>
      <c r="R158" s="2"/>
    </row>
    <row r="159" spans="1:18" ht="12" customHeight="1">
      <c r="A159" s="16"/>
      <c r="B159" s="19" t="s">
        <v>152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"/>
      <c r="N159" s="2"/>
      <c r="O159" s="2"/>
      <c r="P159" s="2"/>
      <c r="Q159" s="2"/>
      <c r="R159" s="2"/>
    </row>
    <row r="160" spans="1:18" ht="12" customHeight="1">
      <c r="A160" s="16"/>
      <c r="B160" s="19" t="s">
        <v>153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18" t="s">
        <v>104</v>
      </c>
      <c r="M160" s="2"/>
      <c r="N160" s="2"/>
      <c r="O160" s="2"/>
      <c r="P160" s="2"/>
      <c r="Q160" s="2"/>
      <c r="R160" s="2"/>
    </row>
    <row r="161" spans="1:18" ht="12" customHeight="1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2"/>
      <c r="N161" s="2"/>
      <c r="O161" s="2"/>
      <c r="P161" s="2"/>
      <c r="Q161" s="2"/>
      <c r="R161" s="2"/>
    </row>
    <row r="162" spans="1:18" ht="12" customHeight="1">
      <c r="A162" s="16"/>
      <c r="B162" s="19" t="s">
        <v>154</v>
      </c>
      <c r="C162" s="20">
        <v>5629690</v>
      </c>
      <c r="D162" s="20">
        <v>6368430</v>
      </c>
      <c r="E162" s="20">
        <v>5081312</v>
      </c>
      <c r="F162" s="20">
        <v>5456367</v>
      </c>
      <c r="G162" s="20">
        <v>3520108</v>
      </c>
      <c r="H162" s="20">
        <v>3697489</v>
      </c>
      <c r="I162" s="20">
        <v>4095233</v>
      </c>
      <c r="J162" s="20">
        <v>2407039</v>
      </c>
      <c r="K162" s="20">
        <v>2225766</v>
      </c>
      <c r="L162" s="20">
        <v>2164541</v>
      </c>
      <c r="M162" s="2"/>
      <c r="N162" s="2"/>
      <c r="O162" s="2"/>
      <c r="P162" s="2"/>
      <c r="Q162" s="2"/>
      <c r="R162" s="2"/>
    </row>
    <row r="163" spans="1:18" ht="12" customHeight="1">
      <c r="A163" s="16"/>
      <c r="B163" s="26" t="s">
        <v>155</v>
      </c>
      <c r="C163" s="27">
        <v>932951</v>
      </c>
      <c r="D163" s="27">
        <v>899391</v>
      </c>
      <c r="E163" s="27">
        <v>1367114</v>
      </c>
      <c r="F163" s="27">
        <v>1268047</v>
      </c>
      <c r="G163" s="27">
        <v>1192500</v>
      </c>
      <c r="H163" s="27">
        <v>2325766</v>
      </c>
      <c r="I163" s="27">
        <v>2678783</v>
      </c>
      <c r="J163" s="27">
        <v>1561872</v>
      </c>
      <c r="K163" s="27">
        <v>1295857</v>
      </c>
      <c r="L163" s="27">
        <v>1345704</v>
      </c>
      <c r="M163" s="2"/>
      <c r="N163" s="2"/>
      <c r="O163" s="2"/>
      <c r="P163" s="2"/>
      <c r="Q163" s="2"/>
      <c r="R163" s="2"/>
    </row>
    <row r="164" spans="1:18" ht="12" customHeight="1">
      <c r="A164" s="16"/>
      <c r="B164" s="26" t="s">
        <v>156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"/>
      <c r="N164" s="2"/>
      <c r="O164" s="2"/>
      <c r="P164" s="2"/>
      <c r="Q164" s="2"/>
      <c r="R164" s="2"/>
    </row>
    <row r="165" spans="1:18" ht="12" customHeight="1">
      <c r="A165" s="16"/>
      <c r="B165" s="26" t="s">
        <v>157</v>
      </c>
      <c r="C165" s="27">
        <v>3487309</v>
      </c>
      <c r="D165" s="27">
        <v>3700407</v>
      </c>
      <c r="E165" s="27">
        <v>3039824</v>
      </c>
      <c r="F165" s="27">
        <v>3212819</v>
      </c>
      <c r="G165" s="27">
        <v>1976426</v>
      </c>
      <c r="H165" s="27">
        <v>695190</v>
      </c>
      <c r="I165" s="27">
        <v>906262</v>
      </c>
      <c r="J165" s="28" t="s">
        <v>104</v>
      </c>
      <c r="K165" s="28" t="s">
        <v>104</v>
      </c>
      <c r="L165" s="28" t="s">
        <v>104</v>
      </c>
      <c r="M165" s="2"/>
      <c r="N165" s="2"/>
      <c r="O165" s="2"/>
      <c r="P165" s="2"/>
      <c r="Q165" s="2"/>
      <c r="R165" s="2"/>
    </row>
    <row r="166" spans="1:18" ht="23.25" customHeight="1">
      <c r="A166" s="16"/>
      <c r="B166" s="26" t="s">
        <v>158</v>
      </c>
      <c r="C166" s="27">
        <v>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"/>
      <c r="N166" s="2"/>
      <c r="O166" s="2"/>
      <c r="P166" s="2"/>
      <c r="Q166" s="2"/>
      <c r="R166" s="2"/>
    </row>
    <row r="167" spans="1:18" ht="12" customHeight="1">
      <c r="A167" s="16"/>
      <c r="B167" s="26" t="s">
        <v>159</v>
      </c>
      <c r="C167" s="27">
        <v>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"/>
      <c r="N167" s="2"/>
      <c r="O167" s="2"/>
      <c r="P167" s="2"/>
      <c r="Q167" s="2"/>
      <c r="R167" s="2"/>
    </row>
    <row r="168" spans="1:18" ht="23.25" customHeight="1">
      <c r="A168" s="16"/>
      <c r="B168" s="26" t="s">
        <v>160</v>
      </c>
      <c r="C168" s="27">
        <v>0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"/>
      <c r="N168" s="2"/>
      <c r="O168" s="2"/>
      <c r="P168" s="2"/>
      <c r="Q168" s="2"/>
      <c r="R168" s="2"/>
    </row>
    <row r="169" spans="1:18" ht="12" customHeight="1">
      <c r="A169" s="16"/>
      <c r="B169" s="26" t="s">
        <v>161</v>
      </c>
      <c r="C169" s="27">
        <v>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"/>
      <c r="N169" s="2"/>
      <c r="O169" s="2"/>
      <c r="P169" s="2"/>
      <c r="Q169" s="2"/>
      <c r="R169" s="2"/>
    </row>
    <row r="170" spans="1:18" ht="23.25" customHeight="1">
      <c r="A170" s="16"/>
      <c r="B170" s="26" t="s">
        <v>162</v>
      </c>
      <c r="C170" s="27">
        <v>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"/>
      <c r="N170" s="2"/>
      <c r="O170" s="2"/>
      <c r="P170" s="2"/>
      <c r="Q170" s="2"/>
      <c r="R170" s="2"/>
    </row>
    <row r="171" spans="1:18" ht="23.25" customHeight="1">
      <c r="A171" s="16"/>
      <c r="B171" s="26" t="s">
        <v>163</v>
      </c>
      <c r="C171" s="27">
        <v>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8" t="s">
        <v>104</v>
      </c>
      <c r="M171" s="2"/>
      <c r="N171" s="2"/>
      <c r="O171" s="2"/>
      <c r="P171" s="2"/>
      <c r="Q171" s="2"/>
      <c r="R171" s="2"/>
    </row>
    <row r="172" spans="1:18" ht="23.25" customHeight="1">
      <c r="A172" s="16"/>
      <c r="B172" s="26" t="s">
        <v>164</v>
      </c>
      <c r="C172" s="27">
        <v>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8" t="s">
        <v>104</v>
      </c>
      <c r="M172" s="2"/>
      <c r="N172" s="2"/>
      <c r="O172" s="2"/>
      <c r="P172" s="2"/>
      <c r="Q172" s="2"/>
      <c r="R172" s="2"/>
    </row>
    <row r="173" spans="1:18" ht="12" customHeight="1">
      <c r="A173" s="16"/>
      <c r="B173" s="26" t="s">
        <v>165</v>
      </c>
      <c r="C173" s="27">
        <v>948471</v>
      </c>
      <c r="D173" s="27">
        <v>1340987</v>
      </c>
      <c r="E173" s="27">
        <v>117437</v>
      </c>
      <c r="F173" s="27">
        <v>88788</v>
      </c>
      <c r="G173" s="27">
        <v>110232</v>
      </c>
      <c r="H173" s="27">
        <v>376896</v>
      </c>
      <c r="I173" s="27">
        <v>17259</v>
      </c>
      <c r="J173" s="27">
        <v>26818</v>
      </c>
      <c r="K173" s="27">
        <v>1897</v>
      </c>
      <c r="L173" s="27">
        <v>4654</v>
      </c>
      <c r="M173" s="2"/>
      <c r="N173" s="2"/>
      <c r="O173" s="2"/>
      <c r="P173" s="2"/>
      <c r="Q173" s="2"/>
      <c r="R173" s="2"/>
    </row>
    <row r="174" spans="1:18" ht="12" customHeight="1">
      <c r="A174" s="16"/>
      <c r="B174" s="26" t="s">
        <v>166</v>
      </c>
      <c r="C174" s="27">
        <v>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"/>
      <c r="N174" s="2"/>
      <c r="O174" s="2"/>
      <c r="P174" s="2"/>
      <c r="Q174" s="2"/>
      <c r="R174" s="2"/>
    </row>
    <row r="175" spans="1:18" ht="12" customHeight="1">
      <c r="A175" s="16"/>
      <c r="B175" s="26" t="s">
        <v>167</v>
      </c>
      <c r="C175" s="27">
        <v>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"/>
      <c r="N175" s="2"/>
      <c r="O175" s="2"/>
      <c r="P175" s="2"/>
      <c r="Q175" s="2"/>
      <c r="R175" s="2"/>
    </row>
    <row r="176" spans="1:18" ht="23.25" customHeight="1">
      <c r="A176" s="16"/>
      <c r="B176" s="26" t="s">
        <v>168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"/>
      <c r="N176" s="2"/>
      <c r="O176" s="2"/>
      <c r="P176" s="2"/>
      <c r="Q176" s="2"/>
      <c r="R176" s="2"/>
    </row>
    <row r="177" spans="1:18" ht="12" customHeight="1">
      <c r="A177" s="16"/>
      <c r="B177" s="26" t="s">
        <v>169</v>
      </c>
      <c r="C177" s="27">
        <v>260959</v>
      </c>
      <c r="D177" s="27">
        <v>427645</v>
      </c>
      <c r="E177" s="27">
        <v>556937</v>
      </c>
      <c r="F177" s="27">
        <v>886713</v>
      </c>
      <c r="G177" s="27">
        <v>240950</v>
      </c>
      <c r="H177" s="27">
        <v>299637</v>
      </c>
      <c r="I177" s="27">
        <v>492929</v>
      </c>
      <c r="J177" s="27">
        <v>225770</v>
      </c>
      <c r="K177" s="27">
        <v>331433</v>
      </c>
      <c r="L177" s="27">
        <v>259183</v>
      </c>
      <c r="M177" s="2"/>
      <c r="N177" s="2"/>
      <c r="O177" s="2"/>
      <c r="P177" s="2"/>
      <c r="Q177" s="2"/>
      <c r="R177" s="2"/>
    </row>
    <row r="178" spans="1:18" ht="23.25" customHeight="1">
      <c r="A178" s="16"/>
      <c r="B178" s="26" t="s">
        <v>170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"/>
      <c r="N178" s="2"/>
      <c r="O178" s="2"/>
      <c r="P178" s="2"/>
      <c r="Q178" s="2"/>
      <c r="R178" s="2"/>
    </row>
    <row r="179" spans="1:18" ht="12" customHeight="1">
      <c r="A179" s="16"/>
      <c r="B179" s="26" t="s">
        <v>171</v>
      </c>
      <c r="C179" s="27">
        <v>5629690</v>
      </c>
      <c r="D179" s="27">
        <v>6368430</v>
      </c>
      <c r="E179" s="27">
        <v>5081312</v>
      </c>
      <c r="F179" s="27">
        <v>5456367</v>
      </c>
      <c r="G179" s="27">
        <v>3520108</v>
      </c>
      <c r="H179" s="27">
        <v>3697489</v>
      </c>
      <c r="I179" s="27">
        <v>4095233</v>
      </c>
      <c r="J179" s="27">
        <v>2407039</v>
      </c>
      <c r="K179" s="27">
        <v>2225766</v>
      </c>
      <c r="L179" s="27">
        <v>2164541</v>
      </c>
      <c r="M179" s="2"/>
      <c r="N179" s="2"/>
      <c r="O179" s="2"/>
      <c r="P179" s="2"/>
      <c r="Q179" s="2"/>
      <c r="R179" s="2"/>
    </row>
    <row r="180" spans="1:18" ht="12" customHeight="1">
      <c r="A180" s="16"/>
      <c r="B180" s="26" t="s">
        <v>172</v>
      </c>
      <c r="C180" s="28" t="s">
        <v>104</v>
      </c>
      <c r="D180" s="28" t="s">
        <v>104</v>
      </c>
      <c r="E180" s="28" t="s">
        <v>104</v>
      </c>
      <c r="F180" s="28" t="s">
        <v>104</v>
      </c>
      <c r="G180" s="28" t="s">
        <v>104</v>
      </c>
      <c r="H180" s="28" t="s">
        <v>104</v>
      </c>
      <c r="I180" s="28" t="s">
        <v>104</v>
      </c>
      <c r="J180" s="28" t="s">
        <v>104</v>
      </c>
      <c r="K180" s="28" t="s">
        <v>104</v>
      </c>
      <c r="L180" s="28" t="s">
        <v>104</v>
      </c>
      <c r="M180" s="2"/>
      <c r="N180" s="2"/>
      <c r="O180" s="2"/>
      <c r="P180" s="2"/>
      <c r="Q180" s="2"/>
      <c r="R180" s="2"/>
    </row>
    <row r="181" spans="1:18" ht="12" customHeight="1">
      <c r="A181" s="16"/>
      <c r="B181" s="26" t="s">
        <v>173</v>
      </c>
      <c r="C181" s="27">
        <v>0</v>
      </c>
      <c r="D181" s="27">
        <v>0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"/>
      <c r="N181" s="2"/>
      <c r="O181" s="2"/>
      <c r="P181" s="2"/>
      <c r="Q181" s="2"/>
      <c r="R181" s="2"/>
    </row>
    <row r="182" spans="1:18" ht="12" customHeight="1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2"/>
      <c r="N182" s="2"/>
      <c r="O182" s="2"/>
      <c r="P182" s="2"/>
      <c r="Q182" s="2"/>
      <c r="R182" s="2"/>
    </row>
    <row r="183" spans="1:18" ht="12" customHeight="1">
      <c r="A183" s="16"/>
      <c r="B183" s="19" t="s">
        <v>174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"/>
      <c r="N183" s="2"/>
      <c r="O183" s="2"/>
      <c r="P183" s="2"/>
      <c r="Q183" s="2"/>
      <c r="R183" s="2"/>
    </row>
    <row r="184" spans="1:18" ht="12" customHeight="1">
      <c r="A184" s="16"/>
      <c r="B184" s="19" t="s">
        <v>175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"/>
      <c r="N184" s="2"/>
      <c r="O184" s="2"/>
      <c r="P184" s="2"/>
      <c r="Q184" s="2"/>
      <c r="R184" s="2"/>
    </row>
    <row r="185" spans="1:18" ht="12" customHeight="1">
      <c r="A185" s="16"/>
      <c r="B185" s="19" t="s">
        <v>176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"/>
      <c r="N185" s="2"/>
      <c r="O185" s="2"/>
      <c r="P185" s="2"/>
      <c r="Q185" s="2"/>
      <c r="R185" s="2"/>
    </row>
    <row r="186" spans="1:18" ht="12" customHeight="1">
      <c r="A186" s="16"/>
      <c r="B186" s="19" t="s">
        <v>177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"/>
      <c r="N186" s="2"/>
      <c r="O186" s="2"/>
      <c r="P186" s="2"/>
      <c r="Q186" s="2"/>
      <c r="R186" s="2"/>
    </row>
    <row r="187" spans="1:18" ht="23.25" customHeight="1">
      <c r="A187" s="16"/>
      <c r="B187" s="19" t="s">
        <v>178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18" t="s">
        <v>104</v>
      </c>
      <c r="M187" s="2"/>
      <c r="N187" s="2"/>
      <c r="O187" s="2"/>
      <c r="P187" s="2"/>
      <c r="Q187" s="2"/>
      <c r="R187" s="2"/>
    </row>
    <row r="188" spans="1:18" ht="12" customHeight="1">
      <c r="A188" s="16"/>
      <c r="B188" s="19" t="s">
        <v>179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"/>
      <c r="N188" s="2"/>
      <c r="O188" s="2"/>
      <c r="P188" s="2"/>
      <c r="Q188" s="2"/>
      <c r="R188" s="2"/>
    </row>
    <row r="189" spans="1:18" ht="12" customHeight="1">
      <c r="A189" s="16"/>
      <c r="B189" s="19" t="s">
        <v>180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"/>
      <c r="N189" s="2"/>
      <c r="O189" s="2"/>
      <c r="P189" s="2"/>
      <c r="Q189" s="2"/>
      <c r="R189" s="2"/>
    </row>
    <row r="190" spans="1:18" ht="12" customHeight="1">
      <c r="A190" s="16"/>
      <c r="B190" s="19" t="s">
        <v>145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"/>
      <c r="N190" s="2"/>
      <c r="O190" s="2"/>
      <c r="P190" s="2"/>
      <c r="Q190" s="2"/>
      <c r="R190" s="2"/>
    </row>
    <row r="191" spans="1:18" ht="12" customHeight="1">
      <c r="A191" s="16"/>
      <c r="B191" s="19" t="s">
        <v>181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18" t="s">
        <v>104</v>
      </c>
      <c r="M191" s="2"/>
      <c r="N191" s="2"/>
      <c r="O191" s="2"/>
      <c r="P191" s="2"/>
      <c r="Q191" s="2"/>
      <c r="R191" s="2"/>
    </row>
    <row r="192" spans="1:18" ht="12" customHeight="1">
      <c r="A192" s="16"/>
      <c r="B192" s="19" t="s">
        <v>182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"/>
      <c r="N192" s="2"/>
      <c r="O192" s="2"/>
      <c r="P192" s="2"/>
      <c r="Q192" s="2"/>
      <c r="R192" s="2"/>
    </row>
    <row r="193" spans="1:18" ht="12" customHeight="1">
      <c r="A193" s="16"/>
      <c r="B193" s="19" t="s">
        <v>183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18" t="s">
        <v>104</v>
      </c>
      <c r="M193" s="2"/>
      <c r="N193" s="2"/>
      <c r="O193" s="2"/>
      <c r="P193" s="2"/>
      <c r="Q193" s="2"/>
      <c r="R193" s="2"/>
    </row>
    <row r="194" spans="1:18" ht="12" customHeight="1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2"/>
      <c r="N194" s="2"/>
      <c r="O194" s="2"/>
      <c r="P194" s="2"/>
      <c r="Q194" s="2"/>
      <c r="R194" s="2"/>
    </row>
    <row r="195" spans="1:18" ht="12" customHeight="1">
      <c r="A195" s="16"/>
      <c r="B195" s="19" t="s">
        <v>184</v>
      </c>
      <c r="C195" s="20">
        <v>1220375</v>
      </c>
      <c r="D195" s="20">
        <v>424502</v>
      </c>
      <c r="E195" s="20">
        <v>662137</v>
      </c>
      <c r="F195" s="20">
        <v>89934</v>
      </c>
      <c r="G195" s="20">
        <v>434133</v>
      </c>
      <c r="H195" s="20">
        <v>72963</v>
      </c>
      <c r="I195" s="20">
        <v>41899</v>
      </c>
      <c r="J195" s="20">
        <v>68129</v>
      </c>
      <c r="K195" s="20">
        <v>31718</v>
      </c>
      <c r="L195" s="20">
        <v>19757</v>
      </c>
      <c r="M195" s="2"/>
      <c r="N195" s="2"/>
      <c r="O195" s="2"/>
      <c r="P195" s="2"/>
      <c r="Q195" s="2"/>
      <c r="R195" s="2"/>
    </row>
    <row r="196" spans="1:18" ht="12" customHeight="1">
      <c r="A196" s="16"/>
      <c r="B196" s="19" t="s">
        <v>185</v>
      </c>
      <c r="C196" s="20">
        <v>1204970</v>
      </c>
      <c r="D196" s="20">
        <v>394963</v>
      </c>
      <c r="E196" s="20">
        <v>645213</v>
      </c>
      <c r="F196" s="20">
        <v>80730</v>
      </c>
      <c r="G196" s="20">
        <v>428005</v>
      </c>
      <c r="H196" s="20">
        <v>68090</v>
      </c>
      <c r="I196" s="20">
        <v>35003</v>
      </c>
      <c r="J196" s="20">
        <v>54621</v>
      </c>
      <c r="K196" s="20">
        <v>30105</v>
      </c>
      <c r="L196" s="20">
        <v>19030</v>
      </c>
      <c r="M196" s="2"/>
      <c r="N196" s="2"/>
      <c r="O196" s="2"/>
      <c r="P196" s="2"/>
      <c r="Q196" s="2"/>
      <c r="R196" s="2"/>
    </row>
    <row r="197" spans="1:18" ht="12" customHeight="1">
      <c r="A197" s="16"/>
      <c r="B197" s="19" t="s">
        <v>186</v>
      </c>
      <c r="C197" s="20">
        <v>0</v>
      </c>
      <c r="D197" s="20">
        <v>0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"/>
      <c r="N197" s="2"/>
      <c r="O197" s="2"/>
      <c r="P197" s="2"/>
      <c r="Q197" s="2"/>
      <c r="R197" s="2"/>
    </row>
    <row r="198" spans="1:18" ht="12" customHeight="1">
      <c r="A198" s="16"/>
      <c r="B198" s="19" t="s">
        <v>187</v>
      </c>
      <c r="C198" s="20">
        <v>15405</v>
      </c>
      <c r="D198" s="20">
        <v>29539</v>
      </c>
      <c r="E198" s="20">
        <v>16924</v>
      </c>
      <c r="F198" s="20">
        <v>9204</v>
      </c>
      <c r="G198" s="20">
        <v>6128</v>
      </c>
      <c r="H198" s="20">
        <v>4873</v>
      </c>
      <c r="I198" s="20">
        <v>6896</v>
      </c>
      <c r="J198" s="20">
        <v>13508</v>
      </c>
      <c r="K198" s="20">
        <v>1613</v>
      </c>
      <c r="L198" s="20">
        <v>727</v>
      </c>
      <c r="M198" s="2"/>
      <c r="N198" s="2"/>
      <c r="O198" s="2"/>
      <c r="P198" s="2"/>
      <c r="Q198" s="2"/>
      <c r="R198" s="2"/>
    </row>
    <row r="199" spans="1:18" ht="12" customHeight="1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2"/>
      <c r="N199" s="2"/>
      <c r="O199" s="2"/>
      <c r="P199" s="2"/>
      <c r="Q199" s="2"/>
      <c r="R199" s="2"/>
    </row>
    <row r="200" spans="1:18" ht="23.25" customHeight="1">
      <c r="A200" s="16"/>
      <c r="B200" s="19" t="s">
        <v>188</v>
      </c>
      <c r="C200" s="20">
        <v>708571</v>
      </c>
      <c r="D200" s="20">
        <v>637766</v>
      </c>
      <c r="E200" s="20">
        <v>708330</v>
      </c>
      <c r="F200" s="20">
        <v>449103</v>
      </c>
      <c r="G200" s="20">
        <v>848040</v>
      </c>
      <c r="H200" s="20">
        <v>1239211</v>
      </c>
      <c r="I200" s="20">
        <v>1392331</v>
      </c>
      <c r="J200" s="20">
        <v>1429606</v>
      </c>
      <c r="K200" s="20">
        <v>1238472</v>
      </c>
      <c r="L200" s="20">
        <v>1395799</v>
      </c>
      <c r="M200" s="2"/>
      <c r="N200" s="2"/>
      <c r="O200" s="2"/>
      <c r="P200" s="2"/>
      <c r="Q200" s="2"/>
      <c r="R200" s="2"/>
    </row>
    <row r="201" spans="1:18" ht="12" customHeight="1">
      <c r="A201" s="16"/>
      <c r="B201" s="19" t="s">
        <v>189</v>
      </c>
      <c r="C201" s="18" t="s">
        <v>104</v>
      </c>
      <c r="D201" s="18" t="s">
        <v>104</v>
      </c>
      <c r="E201" s="18" t="s">
        <v>104</v>
      </c>
      <c r="F201" s="18" t="s">
        <v>104</v>
      </c>
      <c r="G201" s="18" t="s">
        <v>104</v>
      </c>
      <c r="H201" s="18" t="s">
        <v>104</v>
      </c>
      <c r="I201" s="18" t="s">
        <v>104</v>
      </c>
      <c r="J201" s="18" t="s">
        <v>104</v>
      </c>
      <c r="K201" s="18" t="s">
        <v>104</v>
      </c>
      <c r="L201" s="18" t="s">
        <v>104</v>
      </c>
      <c r="M201" s="2"/>
      <c r="N201" s="2"/>
      <c r="O201" s="2"/>
      <c r="P201" s="2"/>
      <c r="Q201" s="2"/>
      <c r="R201" s="2"/>
    </row>
    <row r="202" spans="1:18" ht="12" customHeight="1">
      <c r="A202" s="16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2"/>
      <c r="N202" s="2"/>
      <c r="O202" s="2"/>
      <c r="P202" s="2"/>
      <c r="Q202" s="2"/>
      <c r="R202" s="2"/>
    </row>
    <row r="203" spans="1:18" ht="12" customHeight="1">
      <c r="A203" s="16"/>
      <c r="B203" s="19" t="s">
        <v>190</v>
      </c>
      <c r="C203" s="20">
        <v>12930506</v>
      </c>
      <c r="D203" s="20">
        <v>11990730</v>
      </c>
      <c r="E203" s="20">
        <v>10877098</v>
      </c>
      <c r="F203" s="20">
        <v>8985482</v>
      </c>
      <c r="G203" s="20">
        <v>7250567</v>
      </c>
      <c r="H203" s="20">
        <v>6831833</v>
      </c>
      <c r="I203" s="20">
        <v>7194117</v>
      </c>
      <c r="J203" s="20">
        <v>5269792</v>
      </c>
      <c r="K203" s="20">
        <v>4342288</v>
      </c>
      <c r="L203" s="20">
        <v>4392744</v>
      </c>
      <c r="M203" s="2"/>
      <c r="N203" s="2"/>
      <c r="O203" s="2"/>
      <c r="P203" s="2"/>
      <c r="Q203" s="2"/>
      <c r="R203" s="2"/>
    </row>
    <row r="204" spans="1:18" ht="12" customHeight="1">
      <c r="A204" s="16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2"/>
      <c r="N204" s="2"/>
      <c r="O204" s="2"/>
      <c r="P204" s="2"/>
      <c r="Q204" s="2"/>
      <c r="R204" s="2"/>
    </row>
    <row r="205" spans="1:18" ht="12" customHeight="1">
      <c r="A205" s="23"/>
      <c r="B205" s="24" t="s">
        <v>191</v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"/>
      <c r="N205" s="2"/>
      <c r="O205" s="2"/>
      <c r="P205" s="2"/>
      <c r="Q205" s="2"/>
      <c r="R205" s="2"/>
    </row>
    <row r="206" spans="1:18" ht="12" customHeight="1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2"/>
      <c r="N206" s="2"/>
      <c r="O206" s="2"/>
      <c r="P206" s="2"/>
      <c r="Q206" s="2"/>
      <c r="R206" s="2"/>
    </row>
    <row r="207" spans="1:18" ht="12" customHeight="1">
      <c r="A207" s="13"/>
      <c r="B207" s="29" t="s">
        <v>192</v>
      </c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2"/>
      <c r="N207" s="2"/>
      <c r="O207" s="2"/>
      <c r="P207" s="2"/>
      <c r="Q207" s="2"/>
      <c r="R207" s="2"/>
    </row>
    <row r="208" spans="1:18" ht="12" customHeight="1">
      <c r="A208" s="16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2"/>
      <c r="N208" s="2"/>
      <c r="O208" s="2"/>
      <c r="P208" s="2"/>
      <c r="Q208" s="2"/>
      <c r="R208" s="2"/>
    </row>
    <row r="209" spans="1:18" ht="12" customHeight="1">
      <c r="A209" s="16"/>
      <c r="B209" s="19" t="s">
        <v>193</v>
      </c>
      <c r="C209" s="20">
        <v>3089801</v>
      </c>
      <c r="D209" s="20">
        <v>2929765</v>
      </c>
      <c r="E209" s="20">
        <v>2257478</v>
      </c>
      <c r="F209" s="20">
        <v>1480696</v>
      </c>
      <c r="G209" s="20">
        <v>966890</v>
      </c>
      <c r="H209" s="20">
        <v>662137</v>
      </c>
      <c r="I209" s="20">
        <v>642433</v>
      </c>
      <c r="J209" s="20">
        <v>432985</v>
      </c>
      <c r="K209" s="20">
        <v>176166</v>
      </c>
      <c r="L209" s="20">
        <v>320323</v>
      </c>
      <c r="M209" s="2"/>
      <c r="N209" s="2"/>
      <c r="O209" s="2"/>
      <c r="P209" s="2"/>
      <c r="Q209" s="2"/>
      <c r="R209" s="2"/>
    </row>
    <row r="210" spans="1:18" ht="12" customHeight="1">
      <c r="A210" s="16"/>
      <c r="B210" s="19" t="s">
        <v>194</v>
      </c>
      <c r="C210" s="20">
        <v>100000</v>
      </c>
      <c r="D210" s="20">
        <v>100000</v>
      </c>
      <c r="E210" s="20">
        <v>100000</v>
      </c>
      <c r="F210" s="20">
        <v>100000</v>
      </c>
      <c r="G210" s="20">
        <v>100000</v>
      </c>
      <c r="H210" s="20">
        <v>100000</v>
      </c>
      <c r="I210" s="20">
        <v>10000</v>
      </c>
      <c r="J210" s="20">
        <v>10000</v>
      </c>
      <c r="K210" s="20">
        <v>10000</v>
      </c>
      <c r="L210" s="20">
        <v>10000</v>
      </c>
      <c r="M210" s="2"/>
      <c r="N210" s="2"/>
      <c r="O210" s="2"/>
      <c r="P210" s="2"/>
      <c r="Q210" s="2"/>
      <c r="R210" s="2"/>
    </row>
    <row r="211" spans="1:18" ht="12" customHeight="1">
      <c r="A211" s="16"/>
      <c r="B211" s="19" t="s">
        <v>195</v>
      </c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18" t="s">
        <v>104</v>
      </c>
      <c r="K211" s="18" t="s">
        <v>104</v>
      </c>
      <c r="L211" s="18" t="s">
        <v>104</v>
      </c>
      <c r="M211" s="2"/>
      <c r="N211" s="2"/>
      <c r="O211" s="2"/>
      <c r="P211" s="2"/>
      <c r="Q211" s="2"/>
      <c r="R211" s="2"/>
    </row>
    <row r="212" spans="1:18" ht="12" customHeight="1">
      <c r="A212" s="16"/>
      <c r="B212" s="19" t="s">
        <v>196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18" t="s">
        <v>104</v>
      </c>
      <c r="K212" s="18" t="s">
        <v>104</v>
      </c>
      <c r="L212" s="18" t="s">
        <v>104</v>
      </c>
      <c r="M212" s="2"/>
      <c r="N212" s="2"/>
      <c r="O212" s="2"/>
      <c r="P212" s="2"/>
      <c r="Q212" s="2"/>
      <c r="R212" s="2"/>
    </row>
    <row r="213" spans="1:18" ht="12" customHeight="1">
      <c r="A213" s="16"/>
      <c r="B213" s="19" t="s">
        <v>197</v>
      </c>
      <c r="C213" s="20">
        <v>0</v>
      </c>
      <c r="D213" s="20">
        <v>0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18" t="s">
        <v>104</v>
      </c>
      <c r="K213" s="18" t="s">
        <v>104</v>
      </c>
      <c r="L213" s="18" t="s">
        <v>104</v>
      </c>
      <c r="M213" s="2"/>
      <c r="N213" s="2"/>
      <c r="O213" s="2"/>
      <c r="P213" s="2"/>
      <c r="Q213" s="2"/>
      <c r="R213" s="2"/>
    </row>
    <row r="214" spans="1:18" ht="12" customHeight="1">
      <c r="A214" s="16"/>
      <c r="B214" s="19" t="s">
        <v>198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18" t="s">
        <v>104</v>
      </c>
      <c r="K214" s="18" t="s">
        <v>104</v>
      </c>
      <c r="L214" s="18" t="s">
        <v>104</v>
      </c>
      <c r="M214" s="2"/>
      <c r="N214" s="2"/>
      <c r="O214" s="2"/>
      <c r="P214" s="2"/>
      <c r="Q214" s="2"/>
      <c r="R214" s="2"/>
    </row>
    <row r="215" spans="1:18" ht="12" customHeight="1">
      <c r="A215" s="16"/>
      <c r="B215" s="19" t="s">
        <v>199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"/>
      <c r="N215" s="2"/>
      <c r="O215" s="2"/>
      <c r="P215" s="2"/>
      <c r="Q215" s="2"/>
      <c r="R215" s="2"/>
    </row>
    <row r="216" spans="1:18" ht="12" customHeight="1">
      <c r="A216" s="16"/>
      <c r="B216" s="19" t="s">
        <v>200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"/>
      <c r="N216" s="2"/>
      <c r="O216" s="2"/>
      <c r="P216" s="2"/>
      <c r="Q216" s="2"/>
      <c r="R216" s="2"/>
    </row>
    <row r="217" spans="1:18" ht="12" customHeight="1">
      <c r="A217" s="16"/>
      <c r="B217" s="19" t="s">
        <v>201</v>
      </c>
      <c r="C217" s="20">
        <v>2000</v>
      </c>
      <c r="D217" s="20">
        <v>2000</v>
      </c>
      <c r="E217" s="20">
        <v>2000</v>
      </c>
      <c r="F217" s="20">
        <v>2000</v>
      </c>
      <c r="G217" s="20">
        <v>2000</v>
      </c>
      <c r="H217" s="20">
        <v>2000</v>
      </c>
      <c r="I217" s="20">
        <v>2000</v>
      </c>
      <c r="J217" s="20">
        <v>2000</v>
      </c>
      <c r="K217" s="20">
        <v>2000</v>
      </c>
      <c r="L217" s="20">
        <v>2000</v>
      </c>
      <c r="M217" s="2"/>
      <c r="N217" s="2"/>
      <c r="O217" s="2"/>
      <c r="P217" s="2"/>
      <c r="Q217" s="2"/>
      <c r="R217" s="2"/>
    </row>
    <row r="218" spans="1:18" ht="12" customHeight="1">
      <c r="A218" s="16"/>
      <c r="B218" s="19" t="s">
        <v>202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"/>
      <c r="N218" s="2"/>
      <c r="O218" s="2"/>
      <c r="P218" s="2"/>
      <c r="Q218" s="2"/>
      <c r="R218" s="2"/>
    </row>
    <row r="219" spans="1:18" ht="12" customHeight="1">
      <c r="A219" s="16"/>
      <c r="B219" s="19" t="s">
        <v>203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"/>
      <c r="N219" s="2"/>
      <c r="O219" s="2"/>
      <c r="P219" s="2"/>
      <c r="Q219" s="2"/>
      <c r="R219" s="2"/>
    </row>
    <row r="220" spans="1:18" ht="12" customHeight="1">
      <c r="A220" s="16"/>
      <c r="B220" s="19" t="s">
        <v>204</v>
      </c>
      <c r="C220" s="20">
        <v>540435</v>
      </c>
      <c r="D220" s="20">
        <v>540433</v>
      </c>
      <c r="E220" s="20">
        <v>540436</v>
      </c>
      <c r="F220" s="20">
        <v>540434</v>
      </c>
      <c r="G220" s="20">
        <v>540436</v>
      </c>
      <c r="H220" s="20">
        <v>540433</v>
      </c>
      <c r="I220" s="20">
        <v>420985</v>
      </c>
      <c r="J220" s="20">
        <v>164165</v>
      </c>
      <c r="K220" s="20">
        <v>0</v>
      </c>
      <c r="L220" s="20">
        <v>184166</v>
      </c>
      <c r="M220" s="2"/>
      <c r="N220" s="2"/>
      <c r="O220" s="2"/>
      <c r="P220" s="2"/>
      <c r="Q220" s="2"/>
      <c r="R220" s="2"/>
    </row>
    <row r="221" spans="1:18" ht="12" customHeight="1">
      <c r="A221" s="16"/>
      <c r="B221" s="19" t="s">
        <v>205</v>
      </c>
      <c r="C221" s="18" t="s">
        <v>104</v>
      </c>
      <c r="D221" s="18" t="s">
        <v>104</v>
      </c>
      <c r="E221" s="18" t="s">
        <v>104</v>
      </c>
      <c r="F221" s="18" t="s">
        <v>104</v>
      </c>
      <c r="G221" s="18" t="s">
        <v>104</v>
      </c>
      <c r="H221" s="18" t="s">
        <v>104</v>
      </c>
      <c r="I221" s="18" t="s">
        <v>104</v>
      </c>
      <c r="J221" s="18" t="s">
        <v>104</v>
      </c>
      <c r="K221" s="18" t="s">
        <v>104</v>
      </c>
      <c r="L221" s="18" t="s">
        <v>104</v>
      </c>
      <c r="M221" s="2"/>
      <c r="N221" s="2"/>
      <c r="O221" s="2"/>
      <c r="P221" s="2"/>
      <c r="Q221" s="2"/>
      <c r="R221" s="2"/>
    </row>
    <row r="222" spans="1:18" ht="12" customHeight="1">
      <c r="A222" s="16"/>
      <c r="B222" s="19" t="s">
        <v>206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18" t="s">
        <v>104</v>
      </c>
      <c r="M222" s="2"/>
      <c r="N222" s="2"/>
      <c r="O222" s="2"/>
      <c r="P222" s="2"/>
      <c r="Q222" s="2"/>
      <c r="R222" s="2"/>
    </row>
    <row r="223" spans="1:18" ht="12" customHeight="1">
      <c r="A223" s="16"/>
      <c r="B223" s="19" t="s">
        <v>207</v>
      </c>
      <c r="C223" s="20">
        <v>2287331</v>
      </c>
      <c r="D223" s="20">
        <v>1615043</v>
      </c>
      <c r="E223" s="20">
        <v>838262</v>
      </c>
      <c r="F223" s="20">
        <v>324454</v>
      </c>
      <c r="G223" s="20">
        <v>19704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"/>
      <c r="N223" s="2"/>
      <c r="O223" s="2"/>
      <c r="P223" s="2"/>
      <c r="Q223" s="2"/>
      <c r="R223" s="2"/>
    </row>
    <row r="224" spans="1:18" ht="12" customHeight="1">
      <c r="A224" s="16"/>
      <c r="B224" s="19" t="s">
        <v>208</v>
      </c>
      <c r="C224" s="20">
        <v>160035</v>
      </c>
      <c r="D224" s="20">
        <v>672289</v>
      </c>
      <c r="E224" s="20">
        <v>776780</v>
      </c>
      <c r="F224" s="20">
        <v>513808</v>
      </c>
      <c r="G224" s="20">
        <v>304750</v>
      </c>
      <c r="H224" s="20">
        <v>19704</v>
      </c>
      <c r="I224" s="20">
        <v>209448</v>
      </c>
      <c r="J224" s="20">
        <v>256820</v>
      </c>
      <c r="K224" s="20">
        <v>164166</v>
      </c>
      <c r="L224" s="20">
        <v>124157</v>
      </c>
      <c r="M224" s="2"/>
      <c r="N224" s="2"/>
      <c r="O224" s="2"/>
      <c r="P224" s="2"/>
      <c r="Q224" s="2"/>
      <c r="R224" s="2"/>
    </row>
    <row r="225" spans="1:18" ht="12" customHeight="1">
      <c r="A225" s="16"/>
      <c r="B225" s="19" t="s">
        <v>209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18" t="s">
        <v>104</v>
      </c>
      <c r="L225" s="18" t="s">
        <v>104</v>
      </c>
      <c r="M225" s="2"/>
      <c r="N225" s="2"/>
      <c r="O225" s="2"/>
      <c r="P225" s="2"/>
      <c r="Q225" s="2"/>
      <c r="R225" s="2"/>
    </row>
    <row r="226" spans="1:18" ht="12" customHeight="1">
      <c r="A226" s="16"/>
      <c r="B226" s="19" t="s">
        <v>210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18" t="s">
        <v>104</v>
      </c>
      <c r="L226" s="18" t="s">
        <v>104</v>
      </c>
      <c r="M226" s="2"/>
      <c r="N226" s="2"/>
      <c r="O226" s="2"/>
      <c r="P226" s="2"/>
      <c r="Q226" s="2"/>
      <c r="R226" s="2"/>
    </row>
    <row r="227" spans="1:18" ht="12" customHeight="1">
      <c r="A227" s="16"/>
      <c r="B227" s="19" t="s">
        <v>211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18" t="s">
        <v>104</v>
      </c>
      <c r="M227" s="2"/>
      <c r="N227" s="2"/>
      <c r="O227" s="2"/>
      <c r="P227" s="2"/>
      <c r="Q227" s="2"/>
      <c r="R227" s="2"/>
    </row>
    <row r="228" spans="1:18" ht="12" customHeight="1">
      <c r="A228" s="16"/>
      <c r="B228" s="19" t="s">
        <v>212</v>
      </c>
      <c r="C228" s="18" t="s">
        <v>104</v>
      </c>
      <c r="D228" s="18" t="s">
        <v>104</v>
      </c>
      <c r="E228" s="18" t="s">
        <v>104</v>
      </c>
      <c r="F228" s="18" t="s">
        <v>104</v>
      </c>
      <c r="G228" s="18" t="s">
        <v>104</v>
      </c>
      <c r="H228" s="18" t="s">
        <v>104</v>
      </c>
      <c r="I228" s="18" t="s">
        <v>104</v>
      </c>
      <c r="J228" s="18" t="s">
        <v>104</v>
      </c>
      <c r="K228" s="18" t="s">
        <v>104</v>
      </c>
      <c r="L228" s="18" t="s">
        <v>104</v>
      </c>
      <c r="M228" s="2"/>
      <c r="N228" s="2"/>
      <c r="O228" s="2"/>
      <c r="P228" s="2"/>
      <c r="Q228" s="2"/>
      <c r="R228" s="2"/>
    </row>
    <row r="229" spans="1:18" ht="12" customHeight="1">
      <c r="A229" s="16"/>
      <c r="B229" s="19" t="s">
        <v>213</v>
      </c>
      <c r="C229" s="18" t="s">
        <v>104</v>
      </c>
      <c r="D229" s="18" t="s">
        <v>104</v>
      </c>
      <c r="E229" s="18" t="s">
        <v>104</v>
      </c>
      <c r="F229" s="18" t="s">
        <v>104</v>
      </c>
      <c r="G229" s="18" t="s">
        <v>104</v>
      </c>
      <c r="H229" s="18" t="s">
        <v>104</v>
      </c>
      <c r="I229" s="18" t="s">
        <v>104</v>
      </c>
      <c r="J229" s="18" t="s">
        <v>104</v>
      </c>
      <c r="K229" s="18" t="s">
        <v>104</v>
      </c>
      <c r="L229" s="18" t="s">
        <v>104</v>
      </c>
      <c r="M229" s="2"/>
      <c r="N229" s="2"/>
      <c r="O229" s="2"/>
      <c r="P229" s="2"/>
      <c r="Q229" s="2"/>
      <c r="R229" s="2"/>
    </row>
    <row r="230" spans="1:18" ht="12" customHeight="1">
      <c r="A230" s="16"/>
      <c r="B230" s="19" t="s">
        <v>214</v>
      </c>
      <c r="C230" s="20">
        <v>0</v>
      </c>
      <c r="D230" s="20">
        <v>0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18" t="s">
        <v>104</v>
      </c>
      <c r="L230" s="18" t="s">
        <v>104</v>
      </c>
      <c r="M230" s="2"/>
      <c r="N230" s="2"/>
      <c r="O230" s="2"/>
      <c r="P230" s="2"/>
      <c r="Q230" s="2"/>
      <c r="R230" s="2"/>
    </row>
    <row r="231" spans="1:18" ht="12" customHeight="1">
      <c r="A231" s="16"/>
      <c r="B231" s="19" t="s">
        <v>215</v>
      </c>
      <c r="C231" s="18" t="s">
        <v>104</v>
      </c>
      <c r="D231" s="18" t="s">
        <v>104</v>
      </c>
      <c r="E231" s="18" t="s">
        <v>104</v>
      </c>
      <c r="F231" s="18" t="s">
        <v>104</v>
      </c>
      <c r="G231" s="18" t="s">
        <v>104</v>
      </c>
      <c r="H231" s="18" t="s">
        <v>104</v>
      </c>
      <c r="I231" s="18" t="s">
        <v>104</v>
      </c>
      <c r="J231" s="18" t="s">
        <v>104</v>
      </c>
      <c r="K231" s="18" t="s">
        <v>104</v>
      </c>
      <c r="L231" s="18" t="s">
        <v>104</v>
      </c>
      <c r="M231" s="2"/>
      <c r="N231" s="2"/>
      <c r="O231" s="2"/>
      <c r="P231" s="2"/>
      <c r="Q231" s="2"/>
      <c r="R231" s="2"/>
    </row>
    <row r="232" spans="1:18" ht="12" customHeight="1">
      <c r="A232" s="16"/>
      <c r="B232" s="19" t="s">
        <v>216</v>
      </c>
      <c r="C232" s="18" t="s">
        <v>104</v>
      </c>
      <c r="D232" s="18" t="s">
        <v>104</v>
      </c>
      <c r="E232" s="18" t="s">
        <v>104</v>
      </c>
      <c r="F232" s="18" t="s">
        <v>104</v>
      </c>
      <c r="G232" s="18" t="s">
        <v>104</v>
      </c>
      <c r="H232" s="18" t="s">
        <v>104</v>
      </c>
      <c r="I232" s="18" t="s">
        <v>104</v>
      </c>
      <c r="J232" s="18" t="s">
        <v>104</v>
      </c>
      <c r="K232" s="18" t="s">
        <v>104</v>
      </c>
      <c r="L232" s="18" t="s">
        <v>104</v>
      </c>
      <c r="M232" s="2"/>
      <c r="N232" s="2"/>
      <c r="O232" s="2"/>
      <c r="P232" s="2"/>
      <c r="Q232" s="2"/>
      <c r="R232" s="2"/>
    </row>
    <row r="233" spans="1:18" ht="12" customHeight="1">
      <c r="A233" s="16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2"/>
      <c r="N233" s="2"/>
      <c r="O233" s="2"/>
      <c r="P233" s="2"/>
      <c r="Q233" s="2"/>
      <c r="R233" s="2"/>
    </row>
    <row r="234" spans="1:18" ht="12" customHeight="1">
      <c r="A234" s="16"/>
      <c r="B234" s="19" t="s">
        <v>217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"/>
      <c r="N234" s="2"/>
      <c r="O234" s="2"/>
      <c r="P234" s="2"/>
      <c r="Q234" s="2"/>
      <c r="R234" s="2"/>
    </row>
    <row r="235" spans="1:18" ht="12" customHeight="1">
      <c r="A235" s="16"/>
      <c r="B235" s="19" t="s">
        <v>218</v>
      </c>
      <c r="C235" s="20">
        <v>0</v>
      </c>
      <c r="D235" s="20">
        <v>0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"/>
      <c r="N235" s="2"/>
      <c r="O235" s="2"/>
      <c r="P235" s="2"/>
      <c r="Q235" s="2"/>
      <c r="R235" s="2"/>
    </row>
    <row r="236" spans="1:18" ht="12" customHeight="1">
      <c r="A236" s="16"/>
      <c r="B236" s="19" t="s">
        <v>219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"/>
      <c r="N236" s="2"/>
      <c r="O236" s="2"/>
      <c r="P236" s="2"/>
      <c r="Q236" s="2"/>
      <c r="R236" s="2"/>
    </row>
    <row r="237" spans="1:18" ht="12" customHeight="1">
      <c r="A237" s="16"/>
      <c r="B237" s="19" t="s">
        <v>220</v>
      </c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18" t="s">
        <v>104</v>
      </c>
      <c r="M237" s="2"/>
      <c r="N237" s="2"/>
      <c r="O237" s="2"/>
      <c r="P237" s="2"/>
      <c r="Q237" s="2"/>
      <c r="R237" s="2"/>
    </row>
    <row r="238" spans="1:18" ht="12" customHeight="1">
      <c r="A238" s="16"/>
      <c r="B238" s="19" t="s">
        <v>221</v>
      </c>
      <c r="C238" s="20">
        <v>0</v>
      </c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"/>
      <c r="N238" s="2"/>
      <c r="O238" s="2"/>
      <c r="P238" s="2"/>
      <c r="Q238" s="2"/>
      <c r="R238" s="2"/>
    </row>
    <row r="239" spans="1:18" ht="12" customHeight="1">
      <c r="A239" s="16"/>
      <c r="B239" s="19" t="s">
        <v>222</v>
      </c>
      <c r="C239" s="18" t="s">
        <v>104</v>
      </c>
      <c r="D239" s="18" t="s">
        <v>104</v>
      </c>
      <c r="E239" s="18" t="s">
        <v>104</v>
      </c>
      <c r="F239" s="18" t="s">
        <v>104</v>
      </c>
      <c r="G239" s="18" t="s">
        <v>104</v>
      </c>
      <c r="H239" s="18" t="s">
        <v>104</v>
      </c>
      <c r="I239" s="18" t="s">
        <v>104</v>
      </c>
      <c r="J239" s="18" t="s">
        <v>104</v>
      </c>
      <c r="K239" s="18" t="s">
        <v>104</v>
      </c>
      <c r="L239" s="18" t="s">
        <v>104</v>
      </c>
      <c r="M239" s="2"/>
      <c r="N239" s="2"/>
      <c r="O239" s="2"/>
      <c r="P239" s="2"/>
      <c r="Q239" s="2"/>
      <c r="R239" s="2"/>
    </row>
    <row r="240" spans="1:18" ht="12" customHeight="1">
      <c r="A240" s="16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2"/>
      <c r="N240" s="2"/>
      <c r="O240" s="2"/>
      <c r="P240" s="2"/>
      <c r="Q240" s="2"/>
      <c r="R240" s="2"/>
    </row>
    <row r="241" spans="1:18" ht="12" customHeight="1">
      <c r="A241" s="16"/>
      <c r="B241" s="19" t="s">
        <v>223</v>
      </c>
      <c r="C241" s="20">
        <v>315729</v>
      </c>
      <c r="D241" s="20">
        <v>275626</v>
      </c>
      <c r="E241" s="20">
        <v>307482</v>
      </c>
      <c r="F241" s="20">
        <v>253701</v>
      </c>
      <c r="G241" s="20">
        <v>220634</v>
      </c>
      <c r="H241" s="20">
        <v>193620</v>
      </c>
      <c r="I241" s="20">
        <v>147085</v>
      </c>
      <c r="J241" s="20">
        <v>106710</v>
      </c>
      <c r="K241" s="20">
        <v>84497</v>
      </c>
      <c r="L241" s="20">
        <v>109340</v>
      </c>
      <c r="M241" s="2"/>
      <c r="N241" s="2"/>
      <c r="O241" s="2"/>
      <c r="P241" s="2"/>
      <c r="Q241" s="2"/>
      <c r="R241" s="2"/>
    </row>
    <row r="242" spans="1:18" ht="12" customHeight="1">
      <c r="A242" s="16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2"/>
      <c r="N242" s="2"/>
      <c r="O242" s="2"/>
      <c r="P242" s="2"/>
      <c r="Q242" s="2"/>
      <c r="R242" s="2"/>
    </row>
    <row r="243" spans="1:18" ht="12" customHeight="1">
      <c r="A243" s="13"/>
      <c r="B243" s="29" t="s">
        <v>224</v>
      </c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2"/>
      <c r="N243" s="2"/>
      <c r="O243" s="2"/>
      <c r="P243" s="2"/>
      <c r="Q243" s="2"/>
      <c r="R243" s="2"/>
    </row>
    <row r="244" spans="1:18" ht="12" customHeight="1">
      <c r="A244" s="16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2"/>
      <c r="N244" s="2"/>
      <c r="O244" s="2"/>
      <c r="P244" s="2"/>
      <c r="Q244" s="2"/>
      <c r="R244" s="2"/>
    </row>
    <row r="245" spans="1:18" ht="12" customHeight="1">
      <c r="A245" s="16"/>
      <c r="B245" s="19" t="s">
        <v>225</v>
      </c>
      <c r="C245" s="20">
        <v>9200966</v>
      </c>
      <c r="D245" s="20">
        <v>8468346</v>
      </c>
      <c r="E245" s="20">
        <v>8006873</v>
      </c>
      <c r="F245" s="20">
        <v>7028521</v>
      </c>
      <c r="G245" s="20">
        <v>5876201</v>
      </c>
      <c r="H245" s="20">
        <v>5813222</v>
      </c>
      <c r="I245" s="20">
        <v>6259012</v>
      </c>
      <c r="J245" s="20">
        <v>4624060</v>
      </c>
      <c r="K245" s="20">
        <v>4007087</v>
      </c>
      <c r="L245" s="20">
        <v>3889771</v>
      </c>
      <c r="M245" s="2"/>
      <c r="N245" s="2"/>
      <c r="O245" s="2"/>
      <c r="P245" s="2"/>
      <c r="Q245" s="2"/>
      <c r="R245" s="2"/>
    </row>
    <row r="246" spans="1:18" ht="12" customHeight="1">
      <c r="A246" s="16"/>
      <c r="B246" s="19" t="s">
        <v>226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"/>
      <c r="N246" s="2"/>
      <c r="O246" s="2"/>
      <c r="P246" s="2"/>
      <c r="Q246" s="2"/>
      <c r="R246" s="2"/>
    </row>
    <row r="247" spans="1:18" ht="12" customHeight="1">
      <c r="A247" s="16"/>
      <c r="B247" s="19" t="s">
        <v>227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"/>
      <c r="N247" s="2"/>
      <c r="O247" s="2"/>
      <c r="P247" s="2"/>
      <c r="Q247" s="2"/>
      <c r="R247" s="2"/>
    </row>
    <row r="248" spans="1:18" ht="12" customHeight="1">
      <c r="A248" s="16"/>
      <c r="B248" s="19" t="s">
        <v>228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"/>
      <c r="N248" s="2"/>
      <c r="O248" s="2"/>
      <c r="P248" s="2"/>
      <c r="Q248" s="2"/>
      <c r="R248" s="2"/>
    </row>
    <row r="249" spans="1:18" ht="12" customHeight="1">
      <c r="A249" s="16"/>
      <c r="B249" s="19" t="s">
        <v>229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"/>
      <c r="N249" s="2"/>
      <c r="O249" s="2"/>
      <c r="P249" s="2"/>
      <c r="Q249" s="2"/>
      <c r="R249" s="2"/>
    </row>
    <row r="250" spans="1:18" ht="12" customHeight="1">
      <c r="A250" s="16"/>
      <c r="B250" s="19" t="s">
        <v>230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1</v>
      </c>
      <c r="M250" s="2"/>
      <c r="N250" s="2"/>
      <c r="O250" s="2"/>
      <c r="P250" s="2"/>
      <c r="Q250" s="2"/>
      <c r="R250" s="2"/>
    </row>
    <row r="251" spans="1:18" ht="23.25" customHeight="1">
      <c r="A251" s="16"/>
      <c r="B251" s="19" t="s">
        <v>231</v>
      </c>
      <c r="C251" s="20">
        <v>0</v>
      </c>
      <c r="D251" s="20">
        <v>0</v>
      </c>
      <c r="E251" s="20">
        <v>0</v>
      </c>
      <c r="F251" s="20">
        <v>0</v>
      </c>
      <c r="G251" s="20">
        <v>1300000</v>
      </c>
      <c r="H251" s="20">
        <v>1300000</v>
      </c>
      <c r="I251" s="20">
        <v>0</v>
      </c>
      <c r="J251" s="20">
        <v>1510973</v>
      </c>
      <c r="K251" s="20">
        <v>1712436</v>
      </c>
      <c r="L251" s="20">
        <v>1887009</v>
      </c>
      <c r="M251" s="2"/>
      <c r="N251" s="2"/>
      <c r="O251" s="2"/>
      <c r="P251" s="2"/>
      <c r="Q251" s="2"/>
      <c r="R251" s="2"/>
    </row>
    <row r="252" spans="1:18" ht="12" customHeight="1">
      <c r="A252" s="16"/>
      <c r="B252" s="19" t="s">
        <v>232</v>
      </c>
      <c r="C252" s="20">
        <v>1785194</v>
      </c>
      <c r="D252" s="20">
        <v>2067585</v>
      </c>
      <c r="E252" s="20">
        <v>893797</v>
      </c>
      <c r="F252" s="20">
        <v>1174483</v>
      </c>
      <c r="G252" s="20">
        <v>408353</v>
      </c>
      <c r="H252" s="20">
        <v>954402</v>
      </c>
      <c r="I252" s="20">
        <v>1222974</v>
      </c>
      <c r="J252" s="20">
        <v>263095</v>
      </c>
      <c r="K252" s="20">
        <v>585505</v>
      </c>
      <c r="L252" s="20">
        <v>623293</v>
      </c>
      <c r="M252" s="2"/>
      <c r="N252" s="2"/>
      <c r="O252" s="2"/>
      <c r="P252" s="2"/>
      <c r="Q252" s="2"/>
      <c r="R252" s="2"/>
    </row>
    <row r="253" spans="1:18" ht="12" customHeight="1">
      <c r="A253" s="16"/>
      <c r="B253" s="19" t="s">
        <v>233</v>
      </c>
      <c r="C253" s="20">
        <v>3837343</v>
      </c>
      <c r="D253" s="20">
        <v>3190619</v>
      </c>
      <c r="E253" s="20">
        <v>3256605</v>
      </c>
      <c r="F253" s="20">
        <v>2014910</v>
      </c>
      <c r="G253" s="20">
        <v>2590830</v>
      </c>
      <c r="H253" s="20">
        <v>1967673</v>
      </c>
      <c r="I253" s="20">
        <v>1457906</v>
      </c>
      <c r="J253" s="20">
        <v>981988</v>
      </c>
      <c r="K253" s="20">
        <v>196181</v>
      </c>
      <c r="L253" s="20">
        <v>259203</v>
      </c>
      <c r="M253" s="2"/>
      <c r="N253" s="2"/>
      <c r="O253" s="2"/>
      <c r="P253" s="2"/>
      <c r="Q253" s="2"/>
      <c r="R253" s="2"/>
    </row>
    <row r="254" spans="1:18" ht="12" customHeight="1">
      <c r="A254" s="16"/>
      <c r="B254" s="19" t="s">
        <v>234</v>
      </c>
      <c r="C254" s="20">
        <v>0</v>
      </c>
      <c r="D254" s="20">
        <v>0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"/>
      <c r="N254" s="2"/>
      <c r="O254" s="2"/>
      <c r="P254" s="2"/>
      <c r="Q254" s="2"/>
      <c r="R254" s="2"/>
    </row>
    <row r="255" spans="1:18" ht="12" customHeight="1">
      <c r="A255" s="16"/>
      <c r="B255" s="19" t="s">
        <v>235</v>
      </c>
      <c r="C255" s="20">
        <v>1052935</v>
      </c>
      <c r="D255" s="20">
        <v>1052935</v>
      </c>
      <c r="E255" s="20">
        <v>1226527</v>
      </c>
      <c r="F255" s="20">
        <v>1300000</v>
      </c>
      <c r="G255" s="20">
        <v>0</v>
      </c>
      <c r="H255" s="20">
        <v>0</v>
      </c>
      <c r="I255" s="20">
        <v>1300000</v>
      </c>
      <c r="J255" s="20">
        <v>0</v>
      </c>
      <c r="K255" s="20">
        <v>0</v>
      </c>
      <c r="L255" s="20">
        <v>0</v>
      </c>
      <c r="M255" s="2"/>
      <c r="N255" s="2"/>
      <c r="O255" s="2"/>
      <c r="P255" s="2"/>
      <c r="Q255" s="2"/>
      <c r="R255" s="2"/>
    </row>
    <row r="256" spans="1:18" ht="12" customHeight="1">
      <c r="A256" s="16"/>
      <c r="B256" s="19" t="s">
        <v>236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"/>
      <c r="N256" s="2"/>
      <c r="O256" s="2"/>
      <c r="P256" s="2"/>
      <c r="Q256" s="2"/>
      <c r="R256" s="2"/>
    </row>
    <row r="257" spans="1:18" ht="12" customHeight="1">
      <c r="A257" s="16"/>
      <c r="B257" s="19" t="s">
        <v>237</v>
      </c>
      <c r="C257" s="20">
        <v>0</v>
      </c>
      <c r="D257" s="20">
        <v>0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"/>
      <c r="N257" s="2"/>
      <c r="O257" s="2"/>
      <c r="P257" s="2"/>
      <c r="Q257" s="2"/>
      <c r="R257" s="2"/>
    </row>
    <row r="258" spans="1:18" ht="12" customHeight="1">
      <c r="A258" s="16"/>
      <c r="B258" s="19" t="s">
        <v>238</v>
      </c>
      <c r="C258" s="20">
        <v>1621110</v>
      </c>
      <c r="D258" s="20">
        <v>1259596</v>
      </c>
      <c r="E258" s="20">
        <v>1844400</v>
      </c>
      <c r="F258" s="20">
        <v>1770389</v>
      </c>
      <c r="G258" s="20">
        <v>1023644</v>
      </c>
      <c r="H258" s="20">
        <v>1047973</v>
      </c>
      <c r="I258" s="20">
        <v>1337064</v>
      </c>
      <c r="J258" s="20">
        <v>1253495</v>
      </c>
      <c r="K258" s="20">
        <v>1119899</v>
      </c>
      <c r="L258" s="20">
        <v>1032733</v>
      </c>
      <c r="M258" s="2"/>
      <c r="N258" s="2"/>
      <c r="O258" s="2"/>
      <c r="P258" s="2"/>
      <c r="Q258" s="2"/>
      <c r="R258" s="2"/>
    </row>
    <row r="259" spans="1:18" ht="12" customHeight="1">
      <c r="A259" s="16"/>
      <c r="B259" s="19" t="s">
        <v>239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"/>
      <c r="N259" s="2"/>
      <c r="O259" s="2"/>
      <c r="P259" s="2"/>
      <c r="Q259" s="2"/>
      <c r="R259" s="2"/>
    </row>
    <row r="260" spans="1:18" ht="12" customHeight="1">
      <c r="A260" s="16"/>
      <c r="B260" s="19" t="s">
        <v>240</v>
      </c>
      <c r="C260" s="20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"/>
      <c r="N260" s="2"/>
      <c r="O260" s="2"/>
      <c r="P260" s="2"/>
      <c r="Q260" s="2"/>
      <c r="R260" s="2"/>
    </row>
    <row r="261" spans="1:18" ht="12" customHeight="1">
      <c r="A261" s="16"/>
      <c r="B261" s="19" t="s">
        <v>241</v>
      </c>
      <c r="C261" s="20">
        <v>0</v>
      </c>
      <c r="D261" s="20">
        <v>0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"/>
      <c r="N261" s="2"/>
      <c r="O261" s="2"/>
      <c r="P261" s="2"/>
      <c r="Q261" s="2"/>
      <c r="R261" s="2"/>
    </row>
    <row r="262" spans="1:18" ht="12" customHeight="1">
      <c r="A262" s="16"/>
      <c r="B262" s="19" t="s">
        <v>242</v>
      </c>
      <c r="C262" s="20">
        <v>189436</v>
      </c>
      <c r="D262" s="20">
        <v>192603</v>
      </c>
      <c r="E262" s="20">
        <v>169420</v>
      </c>
      <c r="F262" s="20">
        <v>42081</v>
      </c>
      <c r="G262" s="20">
        <v>60224</v>
      </c>
      <c r="H262" s="20">
        <v>38346</v>
      </c>
      <c r="I262" s="20">
        <v>475937</v>
      </c>
      <c r="J262" s="20">
        <v>233712</v>
      </c>
      <c r="K262" s="20">
        <v>0</v>
      </c>
      <c r="L262" s="20">
        <v>0</v>
      </c>
      <c r="M262" s="2"/>
      <c r="N262" s="2"/>
      <c r="O262" s="2"/>
      <c r="P262" s="2"/>
      <c r="Q262" s="2"/>
      <c r="R262" s="2"/>
    </row>
    <row r="263" spans="1:18" ht="23.25" customHeight="1">
      <c r="A263" s="16"/>
      <c r="B263" s="19" t="s">
        <v>243</v>
      </c>
      <c r="C263" s="20">
        <v>0</v>
      </c>
      <c r="D263" s="20">
        <v>0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"/>
      <c r="N263" s="2"/>
      <c r="O263" s="2"/>
      <c r="P263" s="2"/>
      <c r="Q263" s="2"/>
      <c r="R263" s="2"/>
    </row>
    <row r="264" spans="1:18" ht="12" customHeight="1">
      <c r="A264" s="16"/>
      <c r="B264" s="19" t="s">
        <v>244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"/>
      <c r="N264" s="2"/>
      <c r="O264" s="2"/>
      <c r="P264" s="2"/>
      <c r="Q264" s="2"/>
      <c r="R264" s="2"/>
    </row>
    <row r="265" spans="1:18" ht="23.25" customHeight="1">
      <c r="A265" s="16"/>
      <c r="B265" s="19" t="s">
        <v>245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"/>
      <c r="N265" s="2"/>
      <c r="O265" s="2"/>
      <c r="P265" s="2"/>
      <c r="Q265" s="2"/>
      <c r="R265" s="2"/>
    </row>
    <row r="266" spans="1:18" ht="12" customHeight="1">
      <c r="A266" s="16"/>
      <c r="B266" s="19" t="s">
        <v>246</v>
      </c>
      <c r="C266" s="20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"/>
      <c r="N266" s="2"/>
      <c r="O266" s="2"/>
      <c r="P266" s="2"/>
      <c r="Q266" s="2"/>
      <c r="R266" s="2"/>
    </row>
    <row r="267" spans="1:18" ht="23.25" customHeight="1">
      <c r="A267" s="16"/>
      <c r="B267" s="19" t="s">
        <v>247</v>
      </c>
      <c r="C267" s="20">
        <v>0</v>
      </c>
      <c r="D267" s="20">
        <v>0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"/>
      <c r="N267" s="2"/>
      <c r="O267" s="2"/>
      <c r="P267" s="2"/>
      <c r="Q267" s="2"/>
      <c r="R267" s="2"/>
    </row>
    <row r="268" spans="1:18" ht="23.25" customHeight="1">
      <c r="A268" s="16"/>
      <c r="B268" s="19" t="s">
        <v>248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18" t="s">
        <v>104</v>
      </c>
      <c r="M268" s="2"/>
      <c r="N268" s="2"/>
      <c r="O268" s="2"/>
      <c r="P268" s="2"/>
      <c r="Q268" s="2"/>
      <c r="R268" s="2"/>
    </row>
    <row r="269" spans="1:18" ht="23.25" customHeight="1">
      <c r="A269" s="16"/>
      <c r="B269" s="19" t="s">
        <v>249</v>
      </c>
      <c r="C269" s="20">
        <v>0</v>
      </c>
      <c r="D269" s="20">
        <v>0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18" t="s">
        <v>104</v>
      </c>
      <c r="M269" s="2"/>
      <c r="N269" s="2"/>
      <c r="O269" s="2"/>
      <c r="P269" s="2"/>
      <c r="Q269" s="2"/>
      <c r="R269" s="2"/>
    </row>
    <row r="270" spans="1:18" ht="12" customHeight="1">
      <c r="A270" s="16"/>
      <c r="B270" s="19" t="s">
        <v>250</v>
      </c>
      <c r="C270" s="20">
        <v>45070</v>
      </c>
      <c r="D270" s="20">
        <v>105048</v>
      </c>
      <c r="E270" s="20">
        <v>75574</v>
      </c>
      <c r="F270" s="20">
        <v>155494</v>
      </c>
      <c r="G270" s="20">
        <v>43393</v>
      </c>
      <c r="H270" s="20">
        <v>25687</v>
      </c>
      <c r="I270" s="20">
        <v>28748</v>
      </c>
      <c r="J270" s="20">
        <v>24664</v>
      </c>
      <c r="K270" s="20">
        <v>59997</v>
      </c>
      <c r="L270" s="20">
        <v>37204</v>
      </c>
      <c r="M270" s="2"/>
      <c r="N270" s="2"/>
      <c r="O270" s="2"/>
      <c r="P270" s="2"/>
      <c r="Q270" s="2"/>
      <c r="R270" s="2"/>
    </row>
    <row r="271" spans="1:18" ht="12" customHeight="1">
      <c r="A271" s="16"/>
      <c r="B271" s="19" t="s">
        <v>251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"/>
      <c r="N271" s="2"/>
      <c r="O271" s="2"/>
      <c r="P271" s="2"/>
      <c r="Q271" s="2"/>
      <c r="R271" s="2"/>
    </row>
    <row r="272" spans="1:18" ht="12" customHeight="1">
      <c r="A272" s="16"/>
      <c r="B272" s="19" t="s">
        <v>252</v>
      </c>
      <c r="C272" s="20">
        <v>76288</v>
      </c>
      <c r="D272" s="20">
        <v>63738</v>
      </c>
      <c r="E272" s="20">
        <v>56938</v>
      </c>
      <c r="F272" s="20">
        <v>30014</v>
      </c>
      <c r="G272" s="20">
        <v>10997</v>
      </c>
      <c r="H272" s="20">
        <v>40044</v>
      </c>
      <c r="I272" s="20">
        <v>37942</v>
      </c>
      <c r="J272" s="20">
        <v>28065</v>
      </c>
      <c r="K272" s="20">
        <v>18776</v>
      </c>
      <c r="L272" s="20">
        <v>18978</v>
      </c>
      <c r="M272" s="2"/>
      <c r="N272" s="2"/>
      <c r="O272" s="2"/>
      <c r="P272" s="2"/>
      <c r="Q272" s="2"/>
      <c r="R272" s="2"/>
    </row>
    <row r="273" spans="1:18" ht="23.25" customHeight="1">
      <c r="A273" s="16"/>
      <c r="B273" s="19" t="s">
        <v>253</v>
      </c>
      <c r="C273" s="20">
        <v>0</v>
      </c>
      <c r="D273" s="20">
        <v>0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"/>
      <c r="N273" s="2"/>
      <c r="O273" s="2"/>
      <c r="P273" s="2"/>
      <c r="Q273" s="2"/>
      <c r="R273" s="2"/>
    </row>
    <row r="274" spans="1:18" ht="12" customHeight="1">
      <c r="A274" s="16"/>
      <c r="B274" s="19" t="s">
        <v>254</v>
      </c>
      <c r="C274" s="20">
        <v>593590</v>
      </c>
      <c r="D274" s="20">
        <v>536222</v>
      </c>
      <c r="E274" s="20">
        <v>483612</v>
      </c>
      <c r="F274" s="20">
        <v>541150</v>
      </c>
      <c r="G274" s="20">
        <v>438760</v>
      </c>
      <c r="H274" s="20">
        <v>439097</v>
      </c>
      <c r="I274" s="20">
        <v>398441</v>
      </c>
      <c r="J274" s="20">
        <v>328068</v>
      </c>
      <c r="K274" s="20">
        <v>314293</v>
      </c>
      <c r="L274" s="20">
        <v>31350</v>
      </c>
      <c r="M274" s="2"/>
      <c r="N274" s="2"/>
      <c r="O274" s="2"/>
      <c r="P274" s="2"/>
      <c r="Q274" s="2"/>
      <c r="R274" s="2"/>
    </row>
    <row r="275" spans="1:18" ht="12" customHeight="1">
      <c r="A275" s="16"/>
      <c r="B275" s="19" t="s">
        <v>255</v>
      </c>
      <c r="C275" s="20">
        <v>0</v>
      </c>
      <c r="D275" s="20">
        <v>0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"/>
      <c r="N275" s="2"/>
      <c r="O275" s="2"/>
      <c r="P275" s="2"/>
      <c r="Q275" s="2"/>
      <c r="R275" s="2"/>
    </row>
    <row r="276" spans="1:18" ht="12" customHeight="1">
      <c r="A276" s="16"/>
      <c r="B276" s="19" t="s">
        <v>256</v>
      </c>
      <c r="C276" s="20">
        <v>4310688</v>
      </c>
      <c r="D276" s="20">
        <v>4224792</v>
      </c>
      <c r="E276" s="20">
        <v>3523741</v>
      </c>
      <c r="F276" s="20">
        <v>3713611</v>
      </c>
      <c r="G276" s="20">
        <v>1985371</v>
      </c>
      <c r="H276" s="20">
        <v>2545549</v>
      </c>
      <c r="I276" s="20">
        <v>3501106</v>
      </c>
      <c r="J276" s="20">
        <v>2131099</v>
      </c>
      <c r="K276" s="20">
        <v>2098470</v>
      </c>
      <c r="L276" s="20">
        <v>1743559</v>
      </c>
      <c r="M276" s="2"/>
      <c r="N276" s="2"/>
      <c r="O276" s="2"/>
      <c r="P276" s="2"/>
      <c r="Q276" s="2"/>
      <c r="R276" s="2"/>
    </row>
    <row r="277" spans="1:18" ht="12" customHeight="1">
      <c r="A277" s="16"/>
      <c r="B277" s="19" t="s">
        <v>257</v>
      </c>
      <c r="C277" s="20">
        <v>4890278</v>
      </c>
      <c r="D277" s="20">
        <v>4243554</v>
      </c>
      <c r="E277" s="20">
        <v>4483132</v>
      </c>
      <c r="F277" s="20">
        <v>3314910</v>
      </c>
      <c r="G277" s="20">
        <v>3890830</v>
      </c>
      <c r="H277" s="20">
        <v>3267673</v>
      </c>
      <c r="I277" s="20">
        <v>2757906</v>
      </c>
      <c r="J277" s="20">
        <v>2492961</v>
      </c>
      <c r="K277" s="20">
        <v>1908617</v>
      </c>
      <c r="L277" s="20">
        <v>2146212</v>
      </c>
      <c r="M277" s="2"/>
      <c r="N277" s="2"/>
      <c r="O277" s="2"/>
      <c r="P277" s="2"/>
      <c r="Q277" s="2"/>
      <c r="R277" s="2"/>
    </row>
    <row r="278" spans="1:18" ht="12" customHeight="1">
      <c r="A278" s="16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2"/>
      <c r="N278" s="2"/>
      <c r="O278" s="2"/>
      <c r="P278" s="2"/>
      <c r="Q278" s="2"/>
      <c r="R278" s="2"/>
    </row>
    <row r="279" spans="1:18" ht="12" customHeight="1">
      <c r="A279" s="16"/>
      <c r="B279" s="19" t="s">
        <v>258</v>
      </c>
      <c r="C279" s="20">
        <v>4310688</v>
      </c>
      <c r="D279" s="20">
        <v>4224792</v>
      </c>
      <c r="E279" s="20">
        <v>3523741</v>
      </c>
      <c r="F279" s="20">
        <v>3713611</v>
      </c>
      <c r="G279" s="20">
        <v>1985371</v>
      </c>
      <c r="H279" s="20">
        <v>2545549</v>
      </c>
      <c r="I279" s="20">
        <v>3501106</v>
      </c>
      <c r="J279" s="20">
        <v>2131099</v>
      </c>
      <c r="K279" s="20">
        <v>2098470</v>
      </c>
      <c r="L279" s="20">
        <v>1743559</v>
      </c>
      <c r="M279" s="2"/>
      <c r="N279" s="2"/>
      <c r="O279" s="2"/>
      <c r="P279" s="2"/>
      <c r="Q279" s="2"/>
      <c r="R279" s="2"/>
    </row>
    <row r="280" spans="1:18" ht="12" customHeight="1">
      <c r="A280" s="16"/>
      <c r="B280" s="19" t="s">
        <v>259</v>
      </c>
      <c r="C280" s="20">
        <v>4890278</v>
      </c>
      <c r="D280" s="20">
        <v>4243554</v>
      </c>
      <c r="E280" s="20">
        <v>4483132</v>
      </c>
      <c r="F280" s="20">
        <v>3314910</v>
      </c>
      <c r="G280" s="20">
        <v>3890830</v>
      </c>
      <c r="H280" s="20">
        <v>3267673</v>
      </c>
      <c r="I280" s="20">
        <v>2757906</v>
      </c>
      <c r="J280" s="20">
        <v>2492961</v>
      </c>
      <c r="K280" s="20">
        <v>1908617</v>
      </c>
      <c r="L280" s="20">
        <v>2146212</v>
      </c>
      <c r="M280" s="2"/>
      <c r="N280" s="2"/>
      <c r="O280" s="2"/>
      <c r="P280" s="2"/>
      <c r="Q280" s="2"/>
      <c r="R280" s="2"/>
    </row>
    <row r="281" spans="1:18" ht="12" customHeight="1">
      <c r="A281" s="16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2"/>
      <c r="N281" s="2"/>
      <c r="O281" s="2"/>
      <c r="P281" s="2"/>
      <c r="Q281" s="2"/>
      <c r="R281" s="2"/>
    </row>
    <row r="282" spans="1:18" ht="23.25" customHeight="1">
      <c r="A282" s="16"/>
      <c r="B282" s="19" t="s">
        <v>260</v>
      </c>
      <c r="C282" s="20">
        <v>324010</v>
      </c>
      <c r="D282" s="20">
        <v>316993</v>
      </c>
      <c r="E282" s="20">
        <v>305265</v>
      </c>
      <c r="F282" s="20">
        <v>222564</v>
      </c>
      <c r="G282" s="20">
        <v>186842</v>
      </c>
      <c r="H282" s="20">
        <v>162854</v>
      </c>
      <c r="I282" s="20">
        <v>145587</v>
      </c>
      <c r="J282" s="20">
        <v>106037</v>
      </c>
      <c r="K282" s="20">
        <v>74538</v>
      </c>
      <c r="L282" s="20">
        <v>73310</v>
      </c>
      <c r="M282" s="2"/>
      <c r="N282" s="2"/>
      <c r="O282" s="2"/>
      <c r="P282" s="2"/>
      <c r="Q282" s="2"/>
      <c r="R282" s="2"/>
    </row>
    <row r="283" spans="1:18" ht="12" customHeight="1">
      <c r="A283" s="16"/>
      <c r="B283" s="19" t="s">
        <v>261</v>
      </c>
      <c r="C283" s="18" t="s">
        <v>104</v>
      </c>
      <c r="D283" s="18" t="s">
        <v>104</v>
      </c>
      <c r="E283" s="18" t="s">
        <v>104</v>
      </c>
      <c r="F283" s="18" t="s">
        <v>104</v>
      </c>
      <c r="G283" s="18" t="s">
        <v>104</v>
      </c>
      <c r="H283" s="18" t="s">
        <v>104</v>
      </c>
      <c r="I283" s="18" t="s">
        <v>104</v>
      </c>
      <c r="J283" s="18" t="s">
        <v>104</v>
      </c>
      <c r="K283" s="18" t="s">
        <v>104</v>
      </c>
      <c r="L283" s="18" t="s">
        <v>104</v>
      </c>
      <c r="M283" s="2"/>
      <c r="N283" s="2"/>
      <c r="O283" s="2"/>
      <c r="P283" s="2"/>
      <c r="Q283" s="2"/>
      <c r="R283" s="2"/>
    </row>
    <row r="284" spans="1:18" ht="12" customHeight="1">
      <c r="A284" s="16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2"/>
      <c r="N284" s="2"/>
      <c r="O284" s="2"/>
      <c r="P284" s="2"/>
      <c r="Q284" s="2"/>
      <c r="R284" s="2"/>
    </row>
    <row r="285" spans="1:18" ht="12" customHeight="1">
      <c r="A285" s="16"/>
      <c r="B285" s="19" t="s">
        <v>262</v>
      </c>
      <c r="C285" s="20">
        <v>12930506</v>
      </c>
      <c r="D285" s="20">
        <v>11990730</v>
      </c>
      <c r="E285" s="20">
        <v>10877098</v>
      </c>
      <c r="F285" s="20">
        <v>8985482</v>
      </c>
      <c r="G285" s="20">
        <v>7250567</v>
      </c>
      <c r="H285" s="20">
        <v>6831833</v>
      </c>
      <c r="I285" s="20">
        <v>7194117</v>
      </c>
      <c r="J285" s="20">
        <v>5269792</v>
      </c>
      <c r="K285" s="20">
        <v>4342288</v>
      </c>
      <c r="L285" s="20">
        <v>4392744</v>
      </c>
      <c r="M285" s="2"/>
      <c r="N285" s="2"/>
      <c r="O285" s="2"/>
      <c r="P285" s="2"/>
      <c r="Q285" s="2"/>
      <c r="R285" s="2"/>
    </row>
    <row r="286" spans="1:18" ht="12" customHeight="1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2"/>
      <c r="N286" s="2"/>
      <c r="O286" s="2"/>
      <c r="P286" s="2"/>
      <c r="Q286" s="2"/>
      <c r="R286" s="2"/>
    </row>
    <row r="287" spans="1:18" ht="12" customHeight="1">
      <c r="A287" s="16"/>
      <c r="B287" s="19" t="s">
        <v>263</v>
      </c>
      <c r="C287" s="20">
        <v>0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"/>
      <c r="N287" s="2"/>
      <c r="O287" s="2"/>
      <c r="P287" s="2"/>
      <c r="Q287" s="2"/>
      <c r="R287" s="2"/>
    </row>
    <row r="288" spans="1:18" ht="12" customHeight="1">
      <c r="A288" s="16"/>
      <c r="B288" s="19" t="s">
        <v>264</v>
      </c>
      <c r="C288" s="20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"/>
      <c r="N288" s="2"/>
      <c r="O288" s="2"/>
      <c r="P288" s="2"/>
      <c r="Q288" s="2"/>
      <c r="R288" s="2"/>
    </row>
    <row r="289" spans="1:18" ht="12" customHeight="1">
      <c r="A289" s="16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2"/>
      <c r="N289" s="2"/>
      <c r="O289" s="2"/>
      <c r="P289" s="2"/>
      <c r="Q289" s="2"/>
      <c r="R289" s="2"/>
    </row>
    <row r="290" spans="1:18" ht="12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5.75" customHeight="1">
      <c r="A291" s="549" t="s">
        <v>265</v>
      </c>
      <c r="B291" s="55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2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23.25" customHeight="1">
      <c r="A293" s="13"/>
      <c r="B293" s="14" t="s">
        <v>32</v>
      </c>
      <c r="C293" s="15" t="s">
        <v>70</v>
      </c>
      <c r="D293" s="15" t="s">
        <v>71</v>
      </c>
      <c r="E293" s="15" t="s">
        <v>72</v>
      </c>
      <c r="F293" s="15" t="s">
        <v>73</v>
      </c>
      <c r="G293" s="15" t="s">
        <v>74</v>
      </c>
      <c r="H293" s="15" t="s">
        <v>75</v>
      </c>
      <c r="I293" s="15" t="s">
        <v>76</v>
      </c>
      <c r="J293" s="15" t="s">
        <v>77</v>
      </c>
      <c r="K293" s="15" t="s">
        <v>78</v>
      </c>
      <c r="L293" s="15" t="s">
        <v>79</v>
      </c>
      <c r="M293" s="2"/>
      <c r="N293" s="2"/>
      <c r="O293" s="2"/>
      <c r="P293" s="2"/>
      <c r="Q293" s="2"/>
      <c r="R293" s="2"/>
    </row>
    <row r="294" spans="1:18" ht="34.5" customHeight="1">
      <c r="A294" s="16"/>
      <c r="B294" s="17"/>
      <c r="C294" s="18" t="s">
        <v>80</v>
      </c>
      <c r="D294" s="18" t="s">
        <v>80</v>
      </c>
      <c r="E294" s="18" t="s">
        <v>80</v>
      </c>
      <c r="F294" s="18" t="s">
        <v>80</v>
      </c>
      <c r="G294" s="18" t="s">
        <v>80</v>
      </c>
      <c r="H294" s="18" t="s">
        <v>80</v>
      </c>
      <c r="I294" s="18" t="s">
        <v>80</v>
      </c>
      <c r="J294" s="18" t="s">
        <v>81</v>
      </c>
      <c r="K294" s="18" t="s">
        <v>81</v>
      </c>
      <c r="L294" s="18" t="s">
        <v>81</v>
      </c>
      <c r="M294" s="2"/>
      <c r="N294" s="2"/>
      <c r="O294" s="2"/>
      <c r="P294" s="2"/>
      <c r="Q294" s="2"/>
      <c r="R294" s="2"/>
    </row>
    <row r="295" spans="1:18" ht="12" customHeight="1">
      <c r="A295" s="16"/>
      <c r="B295" s="19" t="s">
        <v>266</v>
      </c>
      <c r="C295" s="20">
        <v>15406421</v>
      </c>
      <c r="D295" s="20">
        <v>14950204</v>
      </c>
      <c r="E295" s="20">
        <v>14473142</v>
      </c>
      <c r="F295" s="20">
        <v>12660706</v>
      </c>
      <c r="G295" s="20">
        <v>9241787</v>
      </c>
      <c r="H295" s="20">
        <v>10560719</v>
      </c>
      <c r="I295" s="20">
        <v>10659256</v>
      </c>
      <c r="J295" s="20">
        <v>9262499</v>
      </c>
      <c r="K295" s="20">
        <v>8095324</v>
      </c>
      <c r="L295" s="20">
        <v>6514953</v>
      </c>
      <c r="M295" s="2"/>
      <c r="N295" s="2"/>
      <c r="O295" s="2"/>
      <c r="P295" s="2"/>
      <c r="Q295" s="2"/>
      <c r="R295" s="2"/>
    </row>
    <row r="296" spans="1:18" ht="12" customHeight="1">
      <c r="A296" s="16"/>
      <c r="B296" s="19" t="s">
        <v>267</v>
      </c>
      <c r="C296" s="20">
        <v>14885328</v>
      </c>
      <c r="D296" s="20">
        <v>14294364</v>
      </c>
      <c r="E296" s="20">
        <v>13782014</v>
      </c>
      <c r="F296" s="20">
        <v>11619465</v>
      </c>
      <c r="G296" s="20">
        <v>8552816</v>
      </c>
      <c r="H296" s="20">
        <v>9712939</v>
      </c>
      <c r="I296" s="20">
        <v>10220941</v>
      </c>
      <c r="J296" s="20">
        <v>8912701</v>
      </c>
      <c r="K296" s="20">
        <v>7807091</v>
      </c>
      <c r="L296" s="20">
        <v>6287625</v>
      </c>
      <c r="M296" s="2"/>
      <c r="N296" s="2"/>
      <c r="O296" s="2"/>
      <c r="P296" s="2"/>
      <c r="Q296" s="2"/>
      <c r="R296" s="2"/>
    </row>
    <row r="297" spans="1:18" ht="12" customHeight="1">
      <c r="A297" s="16"/>
      <c r="B297" s="19" t="s">
        <v>268</v>
      </c>
      <c r="C297" s="20">
        <v>0</v>
      </c>
      <c r="D297" s="20">
        <v>0</v>
      </c>
      <c r="E297" s="20">
        <v>0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"/>
      <c r="N297" s="2"/>
      <c r="O297" s="2"/>
      <c r="P297" s="2"/>
      <c r="Q297" s="2"/>
      <c r="R297" s="2"/>
    </row>
    <row r="298" spans="1:18" ht="12" customHeight="1">
      <c r="A298" s="16"/>
      <c r="B298" s="19" t="s">
        <v>269</v>
      </c>
      <c r="C298" s="20">
        <v>0</v>
      </c>
      <c r="D298" s="20">
        <v>0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"/>
      <c r="N298" s="2"/>
      <c r="O298" s="2"/>
      <c r="P298" s="2"/>
      <c r="Q298" s="2"/>
      <c r="R298" s="2"/>
    </row>
    <row r="299" spans="1:18" ht="12" customHeight="1">
      <c r="A299" s="16"/>
      <c r="B299" s="19" t="s">
        <v>270</v>
      </c>
      <c r="C299" s="20">
        <v>0</v>
      </c>
      <c r="D299" s="20">
        <v>0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"/>
      <c r="N299" s="2"/>
      <c r="O299" s="2"/>
      <c r="P299" s="2"/>
      <c r="Q299" s="2"/>
      <c r="R299" s="2"/>
    </row>
    <row r="300" spans="1:18" ht="12" customHeight="1">
      <c r="A300" s="16"/>
      <c r="B300" s="19" t="s">
        <v>271</v>
      </c>
      <c r="C300" s="20">
        <v>0</v>
      </c>
      <c r="D300" s="20">
        <v>0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"/>
      <c r="N300" s="2"/>
      <c r="O300" s="2"/>
      <c r="P300" s="2"/>
      <c r="Q300" s="2"/>
      <c r="R300" s="2"/>
    </row>
    <row r="301" spans="1:18" ht="12" customHeight="1">
      <c r="A301" s="16"/>
      <c r="B301" s="19" t="s">
        <v>272</v>
      </c>
      <c r="C301" s="20">
        <v>521093</v>
      </c>
      <c r="D301" s="20">
        <v>655840</v>
      </c>
      <c r="E301" s="20">
        <v>691128</v>
      </c>
      <c r="F301" s="20">
        <v>1041241</v>
      </c>
      <c r="G301" s="20">
        <v>688971</v>
      </c>
      <c r="H301" s="20">
        <v>847780</v>
      </c>
      <c r="I301" s="20">
        <v>438315</v>
      </c>
      <c r="J301" s="20">
        <v>349798</v>
      </c>
      <c r="K301" s="20">
        <v>288233</v>
      </c>
      <c r="L301" s="20">
        <v>227328</v>
      </c>
      <c r="M301" s="2"/>
      <c r="N301" s="2"/>
      <c r="O301" s="2"/>
      <c r="P301" s="2"/>
      <c r="Q301" s="2"/>
      <c r="R301" s="2"/>
    </row>
    <row r="302" spans="1:18" ht="12" customHeight="1">
      <c r="A302" s="16"/>
      <c r="B302" s="19" t="s">
        <v>273</v>
      </c>
      <c r="C302" s="20">
        <v>149873</v>
      </c>
      <c r="D302" s="20">
        <v>360311</v>
      </c>
      <c r="E302" s="20">
        <v>404719</v>
      </c>
      <c r="F302" s="20">
        <v>445901</v>
      </c>
      <c r="G302" s="20">
        <v>260024</v>
      </c>
      <c r="H302" s="20">
        <v>641183</v>
      </c>
      <c r="I302" s="20">
        <v>0</v>
      </c>
      <c r="J302" s="20">
        <v>0</v>
      </c>
      <c r="K302" s="20">
        <v>0</v>
      </c>
      <c r="L302" s="20">
        <v>0</v>
      </c>
      <c r="M302" s="2"/>
      <c r="N302" s="2"/>
      <c r="O302" s="2"/>
      <c r="P302" s="2"/>
      <c r="Q302" s="2"/>
      <c r="R302" s="2"/>
    </row>
    <row r="303" spans="1:18" ht="12" customHeight="1">
      <c r="A303" s="16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2"/>
      <c r="N303" s="2"/>
      <c r="O303" s="2"/>
      <c r="P303" s="2"/>
      <c r="Q303" s="2"/>
      <c r="R303" s="2"/>
    </row>
    <row r="304" spans="1:18" ht="12" customHeight="1">
      <c r="A304" s="16"/>
      <c r="B304" s="19" t="s">
        <v>274</v>
      </c>
      <c r="C304" s="20">
        <v>14858445</v>
      </c>
      <c r="D304" s="20">
        <v>13843795</v>
      </c>
      <c r="E304" s="20">
        <v>13217410</v>
      </c>
      <c r="F304" s="20">
        <v>11771660</v>
      </c>
      <c r="G304" s="20">
        <v>8694921</v>
      </c>
      <c r="H304" s="20">
        <v>10252064</v>
      </c>
      <c r="I304" s="20">
        <v>10173713</v>
      </c>
      <c r="J304" s="20">
        <v>8717287</v>
      </c>
      <c r="K304" s="20">
        <v>7656058</v>
      </c>
      <c r="L304" s="20">
        <v>6157058</v>
      </c>
      <c r="M304" s="2"/>
      <c r="N304" s="2"/>
      <c r="O304" s="2"/>
      <c r="P304" s="2"/>
      <c r="Q304" s="2"/>
      <c r="R304" s="2"/>
    </row>
    <row r="305" spans="1:18" ht="12" customHeight="1">
      <c r="A305" s="16"/>
      <c r="B305" s="19" t="s">
        <v>275</v>
      </c>
      <c r="C305" s="20">
        <v>7659153</v>
      </c>
      <c r="D305" s="20">
        <v>6960697</v>
      </c>
      <c r="E305" s="20">
        <v>7792575</v>
      </c>
      <c r="F305" s="20">
        <v>6273959</v>
      </c>
      <c r="G305" s="20">
        <v>4922052</v>
      </c>
      <c r="H305" s="20">
        <v>5324267</v>
      </c>
      <c r="I305" s="20">
        <v>5722413</v>
      </c>
      <c r="J305" s="20">
        <v>4985536</v>
      </c>
      <c r="K305" s="20">
        <v>4326383</v>
      </c>
      <c r="L305" s="20">
        <v>3722195</v>
      </c>
      <c r="M305" s="2"/>
      <c r="N305" s="2"/>
      <c r="O305" s="2"/>
      <c r="P305" s="2"/>
      <c r="Q305" s="2"/>
      <c r="R305" s="2"/>
    </row>
    <row r="306" spans="1:18" ht="12" customHeight="1">
      <c r="A306" s="16"/>
      <c r="B306" s="19" t="s">
        <v>276</v>
      </c>
      <c r="C306" s="20">
        <v>3207680</v>
      </c>
      <c r="D306" s="20">
        <v>3194159</v>
      </c>
      <c r="E306" s="20">
        <v>2871646</v>
      </c>
      <c r="F306" s="20">
        <v>2473024</v>
      </c>
      <c r="G306" s="20">
        <v>2242963</v>
      </c>
      <c r="H306" s="20">
        <v>2733445</v>
      </c>
      <c r="I306" s="20">
        <v>2863551</v>
      </c>
      <c r="J306" s="20">
        <v>2558191</v>
      </c>
      <c r="K306" s="20">
        <v>2328619</v>
      </c>
      <c r="L306" s="20">
        <v>1770643</v>
      </c>
      <c r="M306" s="2"/>
      <c r="N306" s="2"/>
      <c r="O306" s="2"/>
      <c r="P306" s="2"/>
      <c r="Q306" s="2"/>
      <c r="R306" s="2"/>
    </row>
    <row r="307" spans="1:18" ht="12" customHeight="1">
      <c r="A307" s="16"/>
      <c r="B307" s="19" t="s">
        <v>277</v>
      </c>
      <c r="C307" s="20">
        <v>952779</v>
      </c>
      <c r="D307" s="20">
        <v>873725</v>
      </c>
      <c r="E307" s="20">
        <v>740801</v>
      </c>
      <c r="F307" s="20">
        <v>562664</v>
      </c>
      <c r="G307" s="20">
        <v>357317</v>
      </c>
      <c r="H307" s="20">
        <v>508533</v>
      </c>
      <c r="I307" s="20">
        <v>431673</v>
      </c>
      <c r="J307" s="20">
        <v>230938</v>
      </c>
      <c r="K307" s="20">
        <v>173591</v>
      </c>
      <c r="L307" s="20">
        <v>109062</v>
      </c>
      <c r="M307" s="2"/>
      <c r="N307" s="2"/>
      <c r="O307" s="2"/>
      <c r="P307" s="2"/>
      <c r="Q307" s="2"/>
      <c r="R307" s="2"/>
    </row>
    <row r="308" spans="1:18" ht="12" customHeight="1">
      <c r="A308" s="16"/>
      <c r="B308" s="19" t="s">
        <v>278</v>
      </c>
      <c r="C308" s="20">
        <v>2694037</v>
      </c>
      <c r="D308" s="20">
        <v>2452118</v>
      </c>
      <c r="E308" s="20">
        <v>2183699</v>
      </c>
      <c r="F308" s="20">
        <v>2128151</v>
      </c>
      <c r="G308" s="20">
        <v>1452701</v>
      </c>
      <c r="H308" s="20">
        <v>1556521</v>
      </c>
      <c r="I308" s="20">
        <v>1260977</v>
      </c>
      <c r="J308" s="20">
        <v>916137</v>
      </c>
      <c r="K308" s="20">
        <v>770178</v>
      </c>
      <c r="L308" s="20">
        <v>562127</v>
      </c>
      <c r="M308" s="2"/>
      <c r="N308" s="2"/>
      <c r="O308" s="2"/>
      <c r="P308" s="2"/>
      <c r="Q308" s="2"/>
      <c r="R308" s="2"/>
    </row>
    <row r="309" spans="1:18" ht="12" customHeight="1">
      <c r="A309" s="16"/>
      <c r="B309" s="19" t="s">
        <v>279</v>
      </c>
      <c r="C309" s="20">
        <v>1961494</v>
      </c>
      <c r="D309" s="20">
        <v>1792751</v>
      </c>
      <c r="E309" s="20">
        <v>1610094</v>
      </c>
      <c r="F309" s="20">
        <v>1627397</v>
      </c>
      <c r="G309" s="20">
        <v>1080466</v>
      </c>
      <c r="H309" s="20">
        <v>1134167</v>
      </c>
      <c r="I309" s="20">
        <v>926065</v>
      </c>
      <c r="J309" s="20">
        <v>664062</v>
      </c>
      <c r="K309" s="20">
        <v>581467</v>
      </c>
      <c r="L309" s="20">
        <v>403452</v>
      </c>
      <c r="M309" s="2"/>
      <c r="N309" s="2"/>
      <c r="O309" s="2"/>
      <c r="P309" s="2"/>
      <c r="Q309" s="2"/>
      <c r="R309" s="2"/>
    </row>
    <row r="310" spans="1:18" ht="12" customHeight="1">
      <c r="A310" s="16"/>
      <c r="B310" s="19" t="s">
        <v>280</v>
      </c>
      <c r="C310" s="20">
        <v>569712</v>
      </c>
      <c r="D310" s="20">
        <v>511618</v>
      </c>
      <c r="E310" s="20">
        <v>443742</v>
      </c>
      <c r="F310" s="20">
        <v>381848</v>
      </c>
      <c r="G310" s="20">
        <v>279171</v>
      </c>
      <c r="H310" s="20">
        <v>335048</v>
      </c>
      <c r="I310" s="20">
        <v>269881</v>
      </c>
      <c r="J310" s="20">
        <v>202280</v>
      </c>
      <c r="K310" s="20">
        <v>151741</v>
      </c>
      <c r="L310" s="20">
        <v>124486</v>
      </c>
      <c r="M310" s="2"/>
      <c r="N310" s="2"/>
      <c r="O310" s="2"/>
      <c r="P310" s="2"/>
      <c r="Q310" s="2"/>
      <c r="R310" s="2"/>
    </row>
    <row r="311" spans="1:18" ht="12" customHeight="1">
      <c r="A311" s="16"/>
      <c r="B311" s="19" t="s">
        <v>281</v>
      </c>
      <c r="C311" s="20">
        <v>151556</v>
      </c>
      <c r="D311" s="20">
        <v>140302</v>
      </c>
      <c r="E311" s="20">
        <v>129863</v>
      </c>
      <c r="F311" s="20">
        <v>114738</v>
      </c>
      <c r="G311" s="20">
        <v>93064</v>
      </c>
      <c r="H311" s="20">
        <v>87221</v>
      </c>
      <c r="I311" s="20">
        <v>65031</v>
      </c>
      <c r="J311" s="20">
        <v>49795</v>
      </c>
      <c r="K311" s="20">
        <v>36895</v>
      </c>
      <c r="L311" s="20">
        <v>32266</v>
      </c>
      <c r="M311" s="2"/>
      <c r="N311" s="2"/>
      <c r="O311" s="2"/>
      <c r="P311" s="2"/>
      <c r="Q311" s="2"/>
      <c r="R311" s="2"/>
    </row>
    <row r="312" spans="1:18" ht="12" customHeight="1">
      <c r="A312" s="16"/>
      <c r="B312" s="19" t="s">
        <v>282</v>
      </c>
      <c r="C312" s="20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"/>
      <c r="N312" s="2"/>
      <c r="O312" s="2"/>
      <c r="P312" s="2"/>
      <c r="Q312" s="2"/>
      <c r="R312" s="2"/>
    </row>
    <row r="313" spans="1:18" ht="12" customHeight="1">
      <c r="A313" s="16"/>
      <c r="B313" s="19" t="s">
        <v>283</v>
      </c>
      <c r="C313" s="20">
        <v>11275</v>
      </c>
      <c r="D313" s="20">
        <v>7447</v>
      </c>
      <c r="E313" s="20">
        <v>0</v>
      </c>
      <c r="F313" s="20">
        <v>4168</v>
      </c>
      <c r="G313" s="20">
        <v>0</v>
      </c>
      <c r="H313" s="20">
        <v>85</v>
      </c>
      <c r="I313" s="20">
        <v>0</v>
      </c>
      <c r="J313" s="20">
        <v>0</v>
      </c>
      <c r="K313" s="20">
        <v>75</v>
      </c>
      <c r="L313" s="20">
        <v>1923</v>
      </c>
      <c r="M313" s="2"/>
      <c r="N313" s="2"/>
      <c r="O313" s="2"/>
      <c r="P313" s="2"/>
      <c r="Q313" s="2"/>
      <c r="R313" s="2"/>
    </row>
    <row r="314" spans="1:18" ht="23.25" customHeight="1">
      <c r="A314" s="16"/>
      <c r="B314" s="19" t="s">
        <v>284</v>
      </c>
      <c r="C314" s="20">
        <v>162831</v>
      </c>
      <c r="D314" s="20">
        <v>147749</v>
      </c>
      <c r="E314" s="20">
        <v>129863</v>
      </c>
      <c r="F314" s="20">
        <v>118906</v>
      </c>
      <c r="G314" s="20">
        <v>93064</v>
      </c>
      <c r="H314" s="20">
        <v>87306</v>
      </c>
      <c r="I314" s="20">
        <v>65031</v>
      </c>
      <c r="J314" s="20">
        <v>49795</v>
      </c>
      <c r="K314" s="20">
        <v>36970</v>
      </c>
      <c r="L314" s="20">
        <v>34189</v>
      </c>
      <c r="M314" s="2"/>
      <c r="N314" s="2"/>
      <c r="O314" s="2"/>
      <c r="P314" s="2"/>
      <c r="Q314" s="2"/>
      <c r="R314" s="2"/>
    </row>
    <row r="315" spans="1:18" ht="23.25" customHeight="1">
      <c r="A315" s="16"/>
      <c r="B315" s="19" t="s">
        <v>285</v>
      </c>
      <c r="C315" s="20">
        <v>514400</v>
      </c>
      <c r="D315" s="20">
        <v>406658</v>
      </c>
      <c r="E315" s="20">
        <v>352969</v>
      </c>
      <c r="F315" s="20">
        <v>584234</v>
      </c>
      <c r="G315" s="20">
        <v>342652</v>
      </c>
      <c r="H315" s="20">
        <v>393099</v>
      </c>
      <c r="I315" s="20">
        <v>110051</v>
      </c>
      <c r="J315" s="20">
        <v>125428</v>
      </c>
      <c r="K315" s="20">
        <v>92847</v>
      </c>
      <c r="L315" s="20">
        <v>87213</v>
      </c>
      <c r="M315" s="2"/>
      <c r="N315" s="2"/>
      <c r="O315" s="2"/>
      <c r="P315" s="2"/>
      <c r="Q315" s="2"/>
      <c r="R315" s="2"/>
    </row>
    <row r="316" spans="1:18" ht="12" customHeight="1">
      <c r="A316" s="16"/>
      <c r="B316" s="19" t="s">
        <v>286</v>
      </c>
      <c r="C316" s="20">
        <v>337336</v>
      </c>
      <c r="D316" s="20">
        <v>265938</v>
      </c>
      <c r="E316" s="20">
        <v>241483</v>
      </c>
      <c r="F316" s="20">
        <v>68609</v>
      </c>
      <c r="G316" s="20">
        <v>85612</v>
      </c>
      <c r="H316" s="20">
        <v>86562</v>
      </c>
      <c r="I316" s="20">
        <v>65300</v>
      </c>
      <c r="J316" s="20">
        <v>76346</v>
      </c>
      <c r="K316" s="20">
        <v>44549</v>
      </c>
      <c r="L316" s="20">
        <v>42564</v>
      </c>
      <c r="M316" s="2"/>
      <c r="N316" s="2"/>
      <c r="O316" s="2"/>
      <c r="P316" s="2"/>
      <c r="Q316" s="2"/>
      <c r="R316" s="2"/>
    </row>
    <row r="317" spans="1:18" ht="12" customHeight="1">
      <c r="A317" s="16"/>
      <c r="B317" s="19" t="s">
        <v>287</v>
      </c>
      <c r="C317" s="20">
        <v>148380</v>
      </c>
      <c r="D317" s="20">
        <v>104667</v>
      </c>
      <c r="E317" s="20">
        <v>65514</v>
      </c>
      <c r="F317" s="20">
        <v>50982</v>
      </c>
      <c r="G317" s="20">
        <v>44125</v>
      </c>
      <c r="H317" s="20">
        <v>44245</v>
      </c>
      <c r="I317" s="20">
        <v>44751</v>
      </c>
      <c r="J317" s="20">
        <v>49082</v>
      </c>
      <c r="K317" s="20">
        <v>48298</v>
      </c>
      <c r="L317" s="20">
        <v>44649</v>
      </c>
      <c r="M317" s="2"/>
      <c r="N317" s="2"/>
      <c r="O317" s="2"/>
      <c r="P317" s="2"/>
      <c r="Q317" s="2"/>
      <c r="R317" s="2"/>
    </row>
    <row r="318" spans="1:18" ht="12" customHeight="1">
      <c r="A318" s="16"/>
      <c r="B318" s="19" t="s">
        <v>288</v>
      </c>
      <c r="C318" s="20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"/>
      <c r="N318" s="2"/>
      <c r="O318" s="2"/>
      <c r="P318" s="2"/>
      <c r="Q318" s="2"/>
      <c r="R318" s="2"/>
    </row>
    <row r="319" spans="1:18" ht="23.25" customHeight="1">
      <c r="A319" s="16"/>
      <c r="B319" s="19" t="s">
        <v>289</v>
      </c>
      <c r="C319" s="20">
        <v>485716</v>
      </c>
      <c r="D319" s="20">
        <v>370605</v>
      </c>
      <c r="E319" s="20">
        <v>306997</v>
      </c>
      <c r="F319" s="20">
        <v>119591</v>
      </c>
      <c r="G319" s="20">
        <v>129737</v>
      </c>
      <c r="H319" s="20">
        <v>130807</v>
      </c>
      <c r="I319" s="20">
        <v>110051</v>
      </c>
      <c r="J319" s="20">
        <v>125428</v>
      </c>
      <c r="K319" s="20">
        <v>92847</v>
      </c>
      <c r="L319" s="20">
        <v>87213</v>
      </c>
      <c r="M319" s="2"/>
      <c r="N319" s="2"/>
      <c r="O319" s="2"/>
      <c r="P319" s="2"/>
      <c r="Q319" s="2"/>
      <c r="R319" s="2"/>
    </row>
    <row r="320" spans="1:18" ht="12" customHeight="1">
      <c r="A320" s="16"/>
      <c r="B320" s="19" t="s">
        <v>290</v>
      </c>
      <c r="C320" s="20">
        <v>28684</v>
      </c>
      <c r="D320" s="20">
        <v>36053</v>
      </c>
      <c r="E320" s="20">
        <v>45972</v>
      </c>
      <c r="F320" s="20">
        <v>464643</v>
      </c>
      <c r="G320" s="20">
        <v>212915</v>
      </c>
      <c r="H320" s="20">
        <v>262292</v>
      </c>
      <c r="I320" s="20">
        <v>0</v>
      </c>
      <c r="J320" s="20">
        <v>0</v>
      </c>
      <c r="K320" s="20">
        <v>0</v>
      </c>
      <c r="L320" s="20">
        <v>0</v>
      </c>
      <c r="M320" s="2"/>
      <c r="N320" s="2"/>
      <c r="O320" s="2"/>
      <c r="P320" s="2"/>
      <c r="Q320" s="2"/>
      <c r="R320" s="2"/>
    </row>
    <row r="321" spans="1:18" ht="23.25" customHeight="1">
      <c r="A321" s="16"/>
      <c r="B321" s="19" t="s">
        <v>291</v>
      </c>
      <c r="C321" s="20">
        <v>-251387</v>
      </c>
      <c r="D321" s="20">
        <v>-70619</v>
      </c>
      <c r="E321" s="20">
        <v>-738763</v>
      </c>
      <c r="F321" s="20">
        <v>-268220</v>
      </c>
      <c r="G321" s="20">
        <v>-640807</v>
      </c>
      <c r="H321" s="20">
        <v>-271680</v>
      </c>
      <c r="I321" s="20">
        <v>-251316</v>
      </c>
      <c r="J321" s="20">
        <v>-150800</v>
      </c>
      <c r="K321" s="20">
        <v>-61187</v>
      </c>
      <c r="L321" s="20">
        <v>-103947</v>
      </c>
      <c r="M321" s="2"/>
      <c r="N321" s="2"/>
      <c r="O321" s="2"/>
      <c r="P321" s="2"/>
      <c r="Q321" s="2"/>
      <c r="R321" s="2"/>
    </row>
    <row r="322" spans="1:18" ht="12" customHeight="1">
      <c r="A322" s="16"/>
      <c r="B322" s="19" t="s">
        <v>292</v>
      </c>
      <c r="C322" s="20">
        <v>0</v>
      </c>
      <c r="D322" s="20">
        <v>0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"/>
      <c r="N322" s="2"/>
      <c r="O322" s="2"/>
      <c r="P322" s="2"/>
      <c r="Q322" s="2"/>
      <c r="R322" s="2"/>
    </row>
    <row r="323" spans="1:18" ht="12" customHeight="1">
      <c r="A323" s="16"/>
      <c r="B323" s="19" t="s">
        <v>293</v>
      </c>
      <c r="C323" s="20">
        <v>0</v>
      </c>
      <c r="D323" s="20">
        <v>0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"/>
      <c r="N323" s="2"/>
      <c r="O323" s="2"/>
      <c r="P323" s="2"/>
      <c r="Q323" s="2"/>
      <c r="R323" s="2"/>
    </row>
    <row r="324" spans="1:18" ht="12" customHeight="1">
      <c r="A324" s="16"/>
      <c r="B324" s="19" t="s">
        <v>294</v>
      </c>
      <c r="C324" s="20">
        <v>81783</v>
      </c>
      <c r="D324" s="20">
        <v>27057</v>
      </c>
      <c r="E324" s="20">
        <v>14483</v>
      </c>
      <c r="F324" s="20">
        <v>17848</v>
      </c>
      <c r="G324" s="20">
        <v>18043</v>
      </c>
      <c r="H324" s="20">
        <v>7879</v>
      </c>
      <c r="I324" s="20">
        <v>36364</v>
      </c>
      <c r="J324" s="20">
        <v>51857</v>
      </c>
      <c r="K324" s="20">
        <v>25627</v>
      </c>
      <c r="L324" s="20">
        <v>9765</v>
      </c>
      <c r="M324" s="2"/>
      <c r="N324" s="2"/>
      <c r="O324" s="2"/>
      <c r="P324" s="2"/>
      <c r="Q324" s="2"/>
      <c r="R324" s="2"/>
    </row>
    <row r="325" spans="1:18" ht="12" customHeight="1">
      <c r="A325" s="16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2"/>
      <c r="N325" s="2"/>
      <c r="O325" s="2"/>
      <c r="P325" s="2"/>
      <c r="Q325" s="2"/>
      <c r="R325" s="2"/>
    </row>
    <row r="326" spans="1:18" ht="12" customHeight="1">
      <c r="A326" s="16"/>
      <c r="B326" s="19" t="s">
        <v>295</v>
      </c>
      <c r="C326" s="20">
        <v>547976</v>
      </c>
      <c r="D326" s="20">
        <v>1106409</v>
      </c>
      <c r="E326" s="20">
        <v>1255732</v>
      </c>
      <c r="F326" s="20">
        <v>889046</v>
      </c>
      <c r="G326" s="20">
        <v>546866</v>
      </c>
      <c r="H326" s="20">
        <v>308655</v>
      </c>
      <c r="I326" s="20">
        <v>485543</v>
      </c>
      <c r="J326" s="20">
        <v>545212</v>
      </c>
      <c r="K326" s="20">
        <v>439266</v>
      </c>
      <c r="L326" s="20">
        <v>357895</v>
      </c>
      <c r="M326" s="2"/>
      <c r="N326" s="2"/>
      <c r="O326" s="2"/>
      <c r="P326" s="2"/>
      <c r="Q326" s="2"/>
      <c r="R326" s="2"/>
    </row>
    <row r="327" spans="1:18" ht="12" customHeight="1">
      <c r="A327" s="16"/>
      <c r="B327" s="19" t="s">
        <v>296</v>
      </c>
      <c r="C327" s="20">
        <v>3756413</v>
      </c>
      <c r="D327" s="20">
        <v>3965185</v>
      </c>
      <c r="E327" s="20">
        <v>3792400</v>
      </c>
      <c r="F327" s="20">
        <v>3601431</v>
      </c>
      <c r="G327" s="20">
        <v>2342219</v>
      </c>
      <c r="H327" s="20">
        <v>2258275</v>
      </c>
      <c r="I327" s="20">
        <v>1856571</v>
      </c>
      <c r="J327" s="20">
        <v>1586777</v>
      </c>
      <c r="K327" s="20">
        <v>1302291</v>
      </c>
      <c r="L327" s="20">
        <v>1007235</v>
      </c>
      <c r="M327" s="2"/>
      <c r="N327" s="2"/>
      <c r="O327" s="2"/>
      <c r="P327" s="2"/>
      <c r="Q327" s="2"/>
      <c r="R327" s="2"/>
    </row>
    <row r="328" spans="1:18" ht="12" customHeight="1">
      <c r="A328" s="16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2"/>
      <c r="N328" s="2"/>
      <c r="O328" s="2"/>
      <c r="P328" s="2"/>
      <c r="Q328" s="2"/>
      <c r="R328" s="2"/>
    </row>
    <row r="329" spans="1:18" ht="12" customHeight="1">
      <c r="A329" s="16"/>
      <c r="B329" s="19" t="s">
        <v>297</v>
      </c>
      <c r="C329" s="20">
        <v>-319435</v>
      </c>
      <c r="D329" s="20">
        <v>-308060</v>
      </c>
      <c r="E329" s="20">
        <v>-239731</v>
      </c>
      <c r="F329" s="20">
        <v>-173465</v>
      </c>
      <c r="G329" s="20">
        <v>-166693</v>
      </c>
      <c r="H329" s="20">
        <v>-191344</v>
      </c>
      <c r="I329" s="20">
        <v>-156701</v>
      </c>
      <c r="J329" s="20">
        <v>-170269</v>
      </c>
      <c r="K329" s="20">
        <v>-163046</v>
      </c>
      <c r="L329" s="20">
        <v>-161482</v>
      </c>
      <c r="M329" s="2"/>
      <c r="N329" s="2"/>
      <c r="O329" s="2"/>
      <c r="P329" s="2"/>
      <c r="Q329" s="2"/>
      <c r="R329" s="2"/>
    </row>
    <row r="330" spans="1:18" ht="12" customHeight="1">
      <c r="A330" s="16"/>
      <c r="B330" s="19" t="s">
        <v>298</v>
      </c>
      <c r="C330" s="20">
        <v>0</v>
      </c>
      <c r="D330" s="20">
        <v>0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"/>
      <c r="N330" s="2"/>
      <c r="O330" s="2"/>
      <c r="P330" s="2"/>
      <c r="Q330" s="2"/>
      <c r="R330" s="2"/>
    </row>
    <row r="331" spans="1:18" ht="23.25" customHeight="1">
      <c r="A331" s="16"/>
      <c r="B331" s="19" t="s">
        <v>299</v>
      </c>
      <c r="C331" s="18" t="s">
        <v>104</v>
      </c>
      <c r="D331" s="18" t="s">
        <v>104</v>
      </c>
      <c r="E331" s="18" t="s">
        <v>104</v>
      </c>
      <c r="F331" s="18" t="s">
        <v>104</v>
      </c>
      <c r="G331" s="18" t="s">
        <v>104</v>
      </c>
      <c r="H331" s="18" t="s">
        <v>104</v>
      </c>
      <c r="I331" s="18" t="s">
        <v>104</v>
      </c>
      <c r="J331" s="18" t="s">
        <v>104</v>
      </c>
      <c r="K331" s="18" t="s">
        <v>104</v>
      </c>
      <c r="L331" s="18" t="s">
        <v>104</v>
      </c>
      <c r="M331" s="2"/>
      <c r="N331" s="2"/>
      <c r="O331" s="2"/>
      <c r="P331" s="2"/>
      <c r="Q331" s="2"/>
      <c r="R331" s="2"/>
    </row>
    <row r="332" spans="1:18" ht="12" customHeight="1">
      <c r="A332" s="16"/>
      <c r="B332" s="19" t="s">
        <v>300</v>
      </c>
      <c r="C332" s="20">
        <v>0</v>
      </c>
      <c r="D332" s="20">
        <v>0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18" t="s">
        <v>104</v>
      </c>
      <c r="M332" s="2"/>
      <c r="N332" s="2"/>
      <c r="O332" s="2"/>
      <c r="P332" s="2"/>
      <c r="Q332" s="2"/>
      <c r="R332" s="2"/>
    </row>
    <row r="333" spans="1:18" ht="23.25" customHeight="1">
      <c r="A333" s="16"/>
      <c r="B333" s="19" t="s">
        <v>301</v>
      </c>
      <c r="C333" s="20">
        <v>0</v>
      </c>
      <c r="D333" s="20">
        <v>0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18" t="s">
        <v>104</v>
      </c>
      <c r="M333" s="2"/>
      <c r="N333" s="2"/>
      <c r="O333" s="2"/>
      <c r="P333" s="2"/>
      <c r="Q333" s="2"/>
      <c r="R333" s="2"/>
    </row>
    <row r="334" spans="1:18" ht="12" customHeight="1">
      <c r="A334" s="16"/>
      <c r="B334" s="19" t="s">
        <v>302</v>
      </c>
      <c r="C334" s="20">
        <v>62566</v>
      </c>
      <c r="D334" s="20">
        <v>74265</v>
      </c>
      <c r="E334" s="20">
        <v>333</v>
      </c>
      <c r="F334" s="20">
        <v>258</v>
      </c>
      <c r="G334" s="20">
        <v>291</v>
      </c>
      <c r="H334" s="20">
        <v>584</v>
      </c>
      <c r="I334" s="20">
        <v>3724</v>
      </c>
      <c r="J334" s="20">
        <v>500</v>
      </c>
      <c r="K334" s="20">
        <v>115</v>
      </c>
      <c r="L334" s="20">
        <v>266</v>
      </c>
      <c r="M334" s="2"/>
      <c r="N334" s="2"/>
      <c r="O334" s="2"/>
      <c r="P334" s="2"/>
      <c r="Q334" s="2"/>
      <c r="R334" s="2"/>
    </row>
    <row r="335" spans="1:18" ht="12" customHeight="1">
      <c r="A335" s="16"/>
      <c r="B335" s="19" t="s">
        <v>303</v>
      </c>
      <c r="C335" s="20">
        <v>0</v>
      </c>
      <c r="D335" s="20">
        <v>0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"/>
      <c r="N335" s="2"/>
      <c r="O335" s="2"/>
      <c r="P335" s="2"/>
      <c r="Q335" s="2"/>
      <c r="R335" s="2"/>
    </row>
    <row r="336" spans="1:18" ht="23.25" customHeight="1">
      <c r="A336" s="16"/>
      <c r="B336" s="19" t="s">
        <v>304</v>
      </c>
      <c r="C336" s="20">
        <v>0</v>
      </c>
      <c r="D336" s="18" t="s">
        <v>104</v>
      </c>
      <c r="E336" s="18" t="s">
        <v>104</v>
      </c>
      <c r="F336" s="18" t="s">
        <v>104</v>
      </c>
      <c r="G336" s="18" t="s">
        <v>104</v>
      </c>
      <c r="H336" s="18" t="s">
        <v>104</v>
      </c>
      <c r="I336" s="18" t="s">
        <v>104</v>
      </c>
      <c r="J336" s="18" t="s">
        <v>104</v>
      </c>
      <c r="K336" s="18" t="s">
        <v>104</v>
      </c>
      <c r="L336" s="18" t="s">
        <v>104</v>
      </c>
      <c r="M336" s="2"/>
      <c r="N336" s="2"/>
      <c r="O336" s="2"/>
      <c r="P336" s="2"/>
      <c r="Q336" s="2"/>
      <c r="R336" s="2"/>
    </row>
    <row r="337" spans="1:18" ht="23.25" customHeight="1">
      <c r="A337" s="16"/>
      <c r="B337" s="19" t="s">
        <v>305</v>
      </c>
      <c r="C337" s="20">
        <v>0</v>
      </c>
      <c r="D337" s="20">
        <v>0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18" t="s">
        <v>104</v>
      </c>
      <c r="M337" s="2"/>
      <c r="N337" s="2"/>
      <c r="O337" s="2"/>
      <c r="P337" s="2"/>
      <c r="Q337" s="2"/>
      <c r="R337" s="2"/>
    </row>
    <row r="338" spans="1:18" ht="12" customHeight="1">
      <c r="A338" s="16"/>
      <c r="B338" s="19" t="s">
        <v>306</v>
      </c>
      <c r="C338" s="20">
        <v>0</v>
      </c>
      <c r="D338" s="20">
        <v>0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"/>
      <c r="N338" s="2"/>
      <c r="O338" s="2"/>
      <c r="P338" s="2"/>
      <c r="Q338" s="2"/>
      <c r="R338" s="2"/>
    </row>
    <row r="339" spans="1:18" ht="12" customHeight="1">
      <c r="A339" s="16"/>
      <c r="B339" s="19" t="s">
        <v>307</v>
      </c>
      <c r="C339" s="20">
        <v>0</v>
      </c>
      <c r="D339" s="20">
        <v>0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"/>
      <c r="N339" s="2"/>
      <c r="O339" s="2"/>
      <c r="P339" s="2"/>
      <c r="Q339" s="2"/>
      <c r="R339" s="2"/>
    </row>
    <row r="340" spans="1:18" ht="12" customHeight="1">
      <c r="A340" s="16"/>
      <c r="B340" s="19" t="s">
        <v>308</v>
      </c>
      <c r="C340" s="20">
        <v>0</v>
      </c>
      <c r="D340" s="20">
        <v>0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"/>
      <c r="N340" s="2"/>
      <c r="O340" s="2"/>
      <c r="P340" s="2"/>
      <c r="Q340" s="2"/>
      <c r="R340" s="2"/>
    </row>
    <row r="341" spans="1:18" ht="12" customHeight="1">
      <c r="A341" s="16"/>
      <c r="B341" s="19" t="s">
        <v>309</v>
      </c>
      <c r="C341" s="20">
        <v>62566</v>
      </c>
      <c r="D341" s="20">
        <v>74265</v>
      </c>
      <c r="E341" s="20">
        <v>333</v>
      </c>
      <c r="F341" s="20">
        <v>258</v>
      </c>
      <c r="G341" s="20">
        <v>291</v>
      </c>
      <c r="H341" s="20">
        <v>584</v>
      </c>
      <c r="I341" s="20">
        <v>3724</v>
      </c>
      <c r="J341" s="20">
        <v>500</v>
      </c>
      <c r="K341" s="20">
        <v>115</v>
      </c>
      <c r="L341" s="20">
        <v>266</v>
      </c>
      <c r="M341" s="2"/>
      <c r="N341" s="2"/>
      <c r="O341" s="2"/>
      <c r="P341" s="2"/>
      <c r="Q341" s="2"/>
      <c r="R341" s="2"/>
    </row>
    <row r="342" spans="1:18" ht="23.25" customHeight="1">
      <c r="A342" s="16"/>
      <c r="B342" s="19" t="s">
        <v>304</v>
      </c>
      <c r="C342" s="20">
        <v>0</v>
      </c>
      <c r="D342" s="20">
        <v>0</v>
      </c>
      <c r="E342" s="20">
        <v>0</v>
      </c>
      <c r="F342" s="20">
        <v>0</v>
      </c>
      <c r="G342" s="20">
        <v>0</v>
      </c>
      <c r="H342" s="18" t="s">
        <v>104</v>
      </c>
      <c r="I342" s="18" t="s">
        <v>104</v>
      </c>
      <c r="J342" s="18" t="s">
        <v>104</v>
      </c>
      <c r="K342" s="18" t="s">
        <v>104</v>
      </c>
      <c r="L342" s="18" t="s">
        <v>104</v>
      </c>
      <c r="M342" s="2"/>
      <c r="N342" s="2"/>
      <c r="O342" s="2"/>
      <c r="P342" s="2"/>
      <c r="Q342" s="2"/>
      <c r="R342" s="2"/>
    </row>
    <row r="343" spans="1:18" ht="23.25" customHeight="1">
      <c r="A343" s="16"/>
      <c r="B343" s="19" t="s">
        <v>305</v>
      </c>
      <c r="C343" s="20">
        <v>0</v>
      </c>
      <c r="D343" s="20">
        <v>0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18" t="s">
        <v>104</v>
      </c>
      <c r="M343" s="2"/>
      <c r="N343" s="2"/>
      <c r="O343" s="2"/>
      <c r="P343" s="2"/>
      <c r="Q343" s="2"/>
      <c r="R343" s="2"/>
    </row>
    <row r="344" spans="1:18" ht="12" customHeight="1">
      <c r="A344" s="16"/>
      <c r="B344" s="19" t="s">
        <v>310</v>
      </c>
      <c r="C344" s="20">
        <v>381557</v>
      </c>
      <c r="D344" s="20">
        <v>382279</v>
      </c>
      <c r="E344" s="20">
        <v>240050</v>
      </c>
      <c r="F344" s="20">
        <v>173690</v>
      </c>
      <c r="G344" s="20">
        <v>166922</v>
      </c>
      <c r="H344" s="20">
        <v>191809</v>
      </c>
      <c r="I344" s="20">
        <v>160310</v>
      </c>
      <c r="J344" s="20">
        <v>170732</v>
      </c>
      <c r="K344" s="20">
        <v>163161</v>
      </c>
      <c r="L344" s="20">
        <v>161748</v>
      </c>
      <c r="M344" s="2"/>
      <c r="N344" s="2"/>
      <c r="O344" s="2"/>
      <c r="P344" s="2"/>
      <c r="Q344" s="2"/>
      <c r="R344" s="2"/>
    </row>
    <row r="345" spans="1:18" ht="23.25" customHeight="1">
      <c r="A345" s="16"/>
      <c r="B345" s="19" t="s">
        <v>311</v>
      </c>
      <c r="C345" s="20">
        <v>0</v>
      </c>
      <c r="D345" s="20">
        <v>0</v>
      </c>
      <c r="E345" s="20">
        <v>0</v>
      </c>
      <c r="F345" s="20">
        <v>0</v>
      </c>
      <c r="G345" s="20">
        <v>0</v>
      </c>
      <c r="H345" s="18" t="s">
        <v>104</v>
      </c>
      <c r="I345" s="18" t="s">
        <v>104</v>
      </c>
      <c r="J345" s="18" t="s">
        <v>104</v>
      </c>
      <c r="K345" s="18" t="s">
        <v>104</v>
      </c>
      <c r="L345" s="18" t="s">
        <v>104</v>
      </c>
      <c r="M345" s="2"/>
      <c r="N345" s="2"/>
      <c r="O345" s="2"/>
      <c r="P345" s="2"/>
      <c r="Q345" s="2"/>
      <c r="R345" s="2"/>
    </row>
    <row r="346" spans="1:18" ht="23.25" customHeight="1">
      <c r="A346" s="16"/>
      <c r="B346" s="19" t="s">
        <v>301</v>
      </c>
      <c r="C346" s="20">
        <v>0</v>
      </c>
      <c r="D346" s="20">
        <v>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18" t="s">
        <v>104</v>
      </c>
      <c r="M346" s="2"/>
      <c r="N346" s="2"/>
      <c r="O346" s="2"/>
      <c r="P346" s="2"/>
      <c r="Q346" s="2"/>
      <c r="R346" s="2"/>
    </row>
    <row r="347" spans="1:18" ht="12" customHeight="1">
      <c r="A347" s="16"/>
      <c r="B347" s="19" t="s">
        <v>312</v>
      </c>
      <c r="C347" s="20">
        <v>-444</v>
      </c>
      <c r="D347" s="20">
        <v>-46</v>
      </c>
      <c r="E347" s="20">
        <v>-14</v>
      </c>
      <c r="F347" s="20">
        <v>-33</v>
      </c>
      <c r="G347" s="20">
        <v>-62</v>
      </c>
      <c r="H347" s="20">
        <v>-119</v>
      </c>
      <c r="I347" s="20">
        <v>-115</v>
      </c>
      <c r="J347" s="20">
        <v>-37</v>
      </c>
      <c r="K347" s="20">
        <v>0</v>
      </c>
      <c r="L347" s="20">
        <v>0</v>
      </c>
      <c r="M347" s="2"/>
      <c r="N347" s="2"/>
      <c r="O347" s="2"/>
      <c r="P347" s="2"/>
      <c r="Q347" s="2"/>
      <c r="R347" s="2"/>
    </row>
    <row r="348" spans="1:18" ht="12" customHeight="1">
      <c r="A348" s="16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2"/>
      <c r="N348" s="2"/>
      <c r="O348" s="2"/>
      <c r="P348" s="2"/>
      <c r="Q348" s="2"/>
      <c r="R348" s="2"/>
    </row>
    <row r="349" spans="1:18" ht="12" customHeight="1">
      <c r="A349" s="16"/>
      <c r="B349" s="19" t="s">
        <v>313</v>
      </c>
      <c r="C349" s="20">
        <v>0</v>
      </c>
      <c r="D349" s="20">
        <v>0</v>
      </c>
      <c r="E349" s="20">
        <v>0</v>
      </c>
      <c r="F349" s="20">
        <v>0</v>
      </c>
      <c r="G349" s="20">
        <v>0</v>
      </c>
      <c r="H349" s="20">
        <v>-89095</v>
      </c>
      <c r="I349" s="20">
        <v>0</v>
      </c>
      <c r="J349" s="20">
        <v>0</v>
      </c>
      <c r="K349" s="20">
        <v>0</v>
      </c>
      <c r="L349" s="20">
        <v>0</v>
      </c>
      <c r="M349" s="2"/>
      <c r="N349" s="2"/>
      <c r="O349" s="2"/>
      <c r="P349" s="2"/>
      <c r="Q349" s="2"/>
      <c r="R349" s="2"/>
    </row>
    <row r="350" spans="1:18" ht="12" customHeight="1">
      <c r="A350" s="16"/>
      <c r="B350" s="19" t="s">
        <v>314</v>
      </c>
      <c r="C350" s="20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"/>
      <c r="N350" s="2"/>
      <c r="O350" s="2"/>
      <c r="P350" s="2"/>
      <c r="Q350" s="2"/>
      <c r="R350" s="2"/>
    </row>
    <row r="351" spans="1:18" ht="12" customHeight="1">
      <c r="A351" s="16"/>
      <c r="B351" s="19" t="s">
        <v>315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"/>
      <c r="N351" s="2"/>
      <c r="O351" s="2"/>
      <c r="P351" s="2"/>
      <c r="Q351" s="2"/>
      <c r="R351" s="2"/>
    </row>
    <row r="352" spans="1:18" ht="12" customHeight="1">
      <c r="A352" s="16"/>
      <c r="B352" s="19" t="s">
        <v>316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"/>
      <c r="N352" s="2"/>
      <c r="O352" s="2"/>
      <c r="P352" s="2"/>
      <c r="Q352" s="2"/>
      <c r="R352" s="2"/>
    </row>
    <row r="353" spans="1:18" ht="12" customHeight="1">
      <c r="A353" s="16"/>
      <c r="B353" s="19" t="s">
        <v>317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"/>
      <c r="N353" s="2"/>
      <c r="O353" s="2"/>
      <c r="P353" s="2"/>
      <c r="Q353" s="2"/>
      <c r="R353" s="2"/>
    </row>
    <row r="354" spans="1:18" ht="12" customHeight="1">
      <c r="A354" s="16"/>
      <c r="B354" s="19" t="s">
        <v>318</v>
      </c>
      <c r="C354" s="20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18" t="s">
        <v>104</v>
      </c>
      <c r="M354" s="2"/>
      <c r="N354" s="2"/>
      <c r="O354" s="2"/>
      <c r="P354" s="2"/>
      <c r="Q354" s="2"/>
      <c r="R354" s="2"/>
    </row>
    <row r="355" spans="1:18" ht="12" customHeight="1">
      <c r="A355" s="16"/>
      <c r="B355" s="19" t="s">
        <v>319</v>
      </c>
      <c r="C355" s="20">
        <v>0</v>
      </c>
      <c r="D355" s="20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18" t="s">
        <v>104</v>
      </c>
      <c r="M355" s="2"/>
      <c r="N355" s="2"/>
      <c r="O355" s="2"/>
      <c r="P355" s="2"/>
      <c r="Q355" s="2"/>
      <c r="R355" s="2"/>
    </row>
    <row r="356" spans="1:18" ht="12" customHeight="1">
      <c r="A356" s="16"/>
      <c r="B356" s="19" t="s">
        <v>320</v>
      </c>
      <c r="C356" s="20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89095</v>
      </c>
      <c r="I356" s="20">
        <v>0</v>
      </c>
      <c r="J356" s="20">
        <v>0</v>
      </c>
      <c r="K356" s="20">
        <v>0</v>
      </c>
      <c r="L356" s="20">
        <v>0</v>
      </c>
      <c r="M356" s="2"/>
      <c r="N356" s="2"/>
      <c r="O356" s="2"/>
      <c r="P356" s="2"/>
      <c r="Q356" s="2"/>
      <c r="R356" s="2"/>
    </row>
    <row r="357" spans="1:18" ht="12" customHeight="1">
      <c r="A357" s="16"/>
      <c r="B357" s="19" t="s">
        <v>321</v>
      </c>
      <c r="C357" s="20">
        <v>0</v>
      </c>
      <c r="D357" s="20">
        <v>0</v>
      </c>
      <c r="E357" s="20">
        <v>0</v>
      </c>
      <c r="F357" s="20">
        <v>0</v>
      </c>
      <c r="G357" s="20">
        <v>0</v>
      </c>
      <c r="H357" s="20">
        <v>89095</v>
      </c>
      <c r="I357" s="20">
        <v>0</v>
      </c>
      <c r="J357" s="20">
        <v>0</v>
      </c>
      <c r="K357" s="20">
        <v>0</v>
      </c>
      <c r="L357" s="20">
        <v>0</v>
      </c>
      <c r="M357" s="2"/>
      <c r="N357" s="2"/>
      <c r="O357" s="2"/>
      <c r="P357" s="2"/>
      <c r="Q357" s="2"/>
      <c r="R357" s="2"/>
    </row>
    <row r="358" spans="1:18" ht="12" customHeight="1">
      <c r="A358" s="16"/>
      <c r="B358" s="19" t="s">
        <v>322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"/>
      <c r="N358" s="2"/>
      <c r="O358" s="2"/>
      <c r="P358" s="2"/>
      <c r="Q358" s="2"/>
      <c r="R358" s="2"/>
    </row>
    <row r="359" spans="1:18" ht="12" customHeight="1">
      <c r="A359" s="16"/>
      <c r="B359" s="19" t="s">
        <v>323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"/>
      <c r="N359" s="2"/>
      <c r="O359" s="2"/>
      <c r="P359" s="2"/>
      <c r="Q359" s="2"/>
      <c r="R359" s="2"/>
    </row>
    <row r="360" spans="1:18" ht="12" customHeight="1">
      <c r="A360" s="16"/>
      <c r="B360" s="19" t="s">
        <v>324</v>
      </c>
      <c r="C360" s="20">
        <v>0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18" t="s">
        <v>104</v>
      </c>
      <c r="M360" s="2"/>
      <c r="N360" s="2"/>
      <c r="O360" s="2"/>
      <c r="P360" s="2"/>
      <c r="Q360" s="2"/>
      <c r="R360" s="2"/>
    </row>
    <row r="361" spans="1:18" ht="23.25" customHeight="1">
      <c r="A361" s="16"/>
      <c r="B361" s="19" t="s">
        <v>325</v>
      </c>
      <c r="C361" s="20">
        <v>0</v>
      </c>
      <c r="D361" s="20">
        <v>0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18" t="s">
        <v>104</v>
      </c>
      <c r="M361" s="2"/>
      <c r="N361" s="2"/>
      <c r="O361" s="2"/>
      <c r="P361" s="2"/>
      <c r="Q361" s="2"/>
      <c r="R361" s="2"/>
    </row>
    <row r="362" spans="1:18" ht="12" customHeight="1">
      <c r="A362" s="16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2"/>
      <c r="N362" s="2"/>
      <c r="O362" s="2"/>
      <c r="P362" s="2"/>
      <c r="Q362" s="2"/>
      <c r="R362" s="2"/>
    </row>
    <row r="363" spans="1:18" ht="23.25" customHeight="1">
      <c r="A363" s="16"/>
      <c r="B363" s="19" t="s">
        <v>326</v>
      </c>
      <c r="C363" s="20">
        <v>0</v>
      </c>
      <c r="D363" s="20">
        <v>0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-4211</v>
      </c>
      <c r="M363" s="2"/>
      <c r="N363" s="2"/>
      <c r="O363" s="2"/>
      <c r="P363" s="2"/>
      <c r="Q363" s="2"/>
      <c r="R363" s="2"/>
    </row>
    <row r="364" spans="1:18" ht="12" customHeight="1">
      <c r="A364" s="16"/>
      <c r="B364" s="19" t="s">
        <v>327</v>
      </c>
      <c r="C364" s="20">
        <v>0</v>
      </c>
      <c r="D364" s="20">
        <v>0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"/>
      <c r="N364" s="2"/>
      <c r="O364" s="2"/>
      <c r="P364" s="2"/>
      <c r="Q364" s="2"/>
      <c r="R364" s="2"/>
    </row>
    <row r="365" spans="1:18" ht="12" customHeight="1">
      <c r="A365" s="16"/>
      <c r="B365" s="19" t="s">
        <v>328</v>
      </c>
      <c r="C365" s="20">
        <v>0</v>
      </c>
      <c r="D365" s="20">
        <v>0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"/>
      <c r="N365" s="2"/>
      <c r="O365" s="2"/>
      <c r="P365" s="2"/>
      <c r="Q365" s="2"/>
      <c r="R365" s="2"/>
    </row>
    <row r="366" spans="1:18" ht="12" customHeight="1">
      <c r="A366" s="16"/>
      <c r="B366" s="19" t="s">
        <v>329</v>
      </c>
      <c r="C366" s="20">
        <v>0</v>
      </c>
      <c r="D366" s="20">
        <v>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4211</v>
      </c>
      <c r="M366" s="2"/>
      <c r="N366" s="2"/>
      <c r="O366" s="2"/>
      <c r="P366" s="2"/>
      <c r="Q366" s="2"/>
      <c r="R366" s="2"/>
    </row>
    <row r="367" spans="1:18" ht="12" customHeight="1">
      <c r="A367" s="16"/>
      <c r="B367" s="19" t="s">
        <v>330</v>
      </c>
      <c r="C367" s="20">
        <v>0</v>
      </c>
      <c r="D367" s="20">
        <v>0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"/>
      <c r="N367" s="2"/>
      <c r="O367" s="2"/>
      <c r="P367" s="2"/>
      <c r="Q367" s="2"/>
      <c r="R367" s="2"/>
    </row>
    <row r="368" spans="1:18" ht="12" customHeight="1">
      <c r="A368" s="16"/>
      <c r="B368" s="19" t="s">
        <v>331</v>
      </c>
      <c r="C368" s="20">
        <v>0</v>
      </c>
      <c r="D368" s="20">
        <v>0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"/>
      <c r="N368" s="2"/>
      <c r="O368" s="2"/>
      <c r="P368" s="2"/>
      <c r="Q368" s="2"/>
      <c r="R368" s="2"/>
    </row>
    <row r="369" spans="1:18" ht="12" customHeight="1">
      <c r="A369" s="16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2"/>
      <c r="N369" s="2"/>
      <c r="O369" s="2"/>
      <c r="P369" s="2"/>
      <c r="Q369" s="2"/>
      <c r="R369" s="2"/>
    </row>
    <row r="370" spans="1:18" ht="12" customHeight="1">
      <c r="A370" s="16"/>
      <c r="B370" s="19" t="s">
        <v>332</v>
      </c>
      <c r="C370" s="20">
        <v>228541</v>
      </c>
      <c r="D370" s="20">
        <v>798349</v>
      </c>
      <c r="E370" s="20">
        <v>1016001</v>
      </c>
      <c r="F370" s="20">
        <v>715581</v>
      </c>
      <c r="G370" s="20">
        <v>380173</v>
      </c>
      <c r="H370" s="20">
        <v>28216</v>
      </c>
      <c r="I370" s="20">
        <v>328842</v>
      </c>
      <c r="J370" s="20">
        <v>374943</v>
      </c>
      <c r="K370" s="20">
        <v>276220</v>
      </c>
      <c r="L370" s="20">
        <v>192202</v>
      </c>
      <c r="M370" s="2"/>
      <c r="N370" s="2"/>
      <c r="O370" s="2"/>
      <c r="P370" s="2"/>
      <c r="Q370" s="2"/>
      <c r="R370" s="2"/>
    </row>
    <row r="371" spans="1:18" ht="23.25" customHeight="1">
      <c r="A371" s="16"/>
      <c r="B371" s="19" t="s">
        <v>333</v>
      </c>
      <c r="C371" s="20">
        <v>68506</v>
      </c>
      <c r="D371" s="20">
        <v>126060</v>
      </c>
      <c r="E371" s="20">
        <v>239221</v>
      </c>
      <c r="F371" s="20">
        <v>201773</v>
      </c>
      <c r="G371" s="20">
        <v>75423</v>
      </c>
      <c r="H371" s="20">
        <v>8512</v>
      </c>
      <c r="I371" s="20">
        <v>119394</v>
      </c>
      <c r="J371" s="20">
        <v>118123</v>
      </c>
      <c r="K371" s="20">
        <v>112054</v>
      </c>
      <c r="L371" s="20">
        <v>68045</v>
      </c>
      <c r="M371" s="2"/>
      <c r="N371" s="2"/>
      <c r="O371" s="2"/>
      <c r="P371" s="2"/>
      <c r="Q371" s="2"/>
      <c r="R371" s="2"/>
    </row>
    <row r="372" spans="1:18" ht="12" customHeight="1">
      <c r="A372" s="16"/>
      <c r="B372" s="19" t="s">
        <v>334</v>
      </c>
      <c r="C372" s="20">
        <v>68506</v>
      </c>
      <c r="D372" s="20">
        <v>126060</v>
      </c>
      <c r="E372" s="20">
        <v>239221</v>
      </c>
      <c r="F372" s="20">
        <v>201773</v>
      </c>
      <c r="G372" s="20">
        <v>75423</v>
      </c>
      <c r="H372" s="20">
        <v>8512</v>
      </c>
      <c r="I372" s="20">
        <v>119394</v>
      </c>
      <c r="J372" s="20">
        <v>118123</v>
      </c>
      <c r="K372" s="20">
        <v>112054</v>
      </c>
      <c r="L372" s="20">
        <v>68045</v>
      </c>
      <c r="M372" s="2"/>
      <c r="N372" s="2"/>
      <c r="O372" s="2"/>
      <c r="P372" s="2"/>
      <c r="Q372" s="2"/>
      <c r="R372" s="2"/>
    </row>
    <row r="373" spans="1:18" ht="12" customHeight="1">
      <c r="A373" s="16"/>
      <c r="B373" s="19" t="s">
        <v>335</v>
      </c>
      <c r="C373" s="20">
        <v>0</v>
      </c>
      <c r="D373" s="20">
        <v>0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18" t="s">
        <v>104</v>
      </c>
      <c r="M373" s="2"/>
      <c r="N373" s="2"/>
      <c r="O373" s="2"/>
      <c r="P373" s="2"/>
      <c r="Q373" s="2"/>
      <c r="R373" s="2"/>
    </row>
    <row r="374" spans="1:18" ht="12" customHeight="1">
      <c r="A374" s="16"/>
      <c r="B374" s="19" t="s">
        <v>336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"/>
      <c r="N374" s="2"/>
      <c r="O374" s="2"/>
      <c r="P374" s="2"/>
      <c r="Q374" s="2"/>
      <c r="R374" s="2"/>
    </row>
    <row r="375" spans="1:18" ht="12" customHeight="1">
      <c r="A375" s="16"/>
      <c r="B375" s="19" t="s">
        <v>337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18" t="s">
        <v>104</v>
      </c>
      <c r="L375" s="18" t="s">
        <v>104</v>
      </c>
      <c r="M375" s="2"/>
      <c r="N375" s="2"/>
      <c r="O375" s="2"/>
      <c r="P375" s="2"/>
      <c r="Q375" s="2"/>
      <c r="R375" s="2"/>
    </row>
    <row r="376" spans="1:18" ht="12" customHeight="1">
      <c r="A376" s="16"/>
      <c r="B376" s="19" t="s">
        <v>338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18" t="s">
        <v>104</v>
      </c>
      <c r="L376" s="18" t="s">
        <v>104</v>
      </c>
      <c r="M376" s="2"/>
      <c r="N376" s="2"/>
      <c r="O376" s="2"/>
      <c r="P376" s="2"/>
      <c r="Q376" s="2"/>
      <c r="R376" s="2"/>
    </row>
    <row r="377" spans="1:18" ht="23.25" customHeight="1">
      <c r="A377" s="16"/>
      <c r="B377" s="19" t="s">
        <v>339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18" t="s">
        <v>104</v>
      </c>
      <c r="L377" s="18" t="s">
        <v>104</v>
      </c>
      <c r="M377" s="2"/>
      <c r="N377" s="2"/>
      <c r="O377" s="2"/>
      <c r="P377" s="2"/>
      <c r="Q377" s="2"/>
      <c r="R377" s="2"/>
    </row>
    <row r="378" spans="1:18" ht="12" customHeight="1">
      <c r="A378" s="16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2"/>
      <c r="N378" s="2"/>
      <c r="O378" s="2"/>
      <c r="P378" s="2"/>
      <c r="Q378" s="2"/>
      <c r="R378" s="2"/>
    </row>
    <row r="379" spans="1:18" ht="12" customHeight="1">
      <c r="A379" s="16"/>
      <c r="B379" s="19" t="s">
        <v>340</v>
      </c>
      <c r="C379" s="20">
        <v>160035</v>
      </c>
      <c r="D379" s="20">
        <v>672289</v>
      </c>
      <c r="E379" s="20">
        <v>776780</v>
      </c>
      <c r="F379" s="20">
        <v>513808</v>
      </c>
      <c r="G379" s="20">
        <v>304750</v>
      </c>
      <c r="H379" s="20">
        <v>19704</v>
      </c>
      <c r="I379" s="20">
        <v>209448</v>
      </c>
      <c r="J379" s="20">
        <v>256820</v>
      </c>
      <c r="K379" s="20">
        <v>164166</v>
      </c>
      <c r="L379" s="20">
        <v>124157</v>
      </c>
      <c r="M379" s="2"/>
      <c r="N379" s="2"/>
      <c r="O379" s="2"/>
      <c r="P379" s="2"/>
      <c r="Q379" s="2"/>
      <c r="R379" s="2"/>
    </row>
    <row r="380" spans="1:18" ht="12" customHeight="1">
      <c r="A380" s="16"/>
      <c r="B380" s="19" t="s">
        <v>341</v>
      </c>
      <c r="C380" s="18" t="s">
        <v>104</v>
      </c>
      <c r="D380" s="18" t="s">
        <v>104</v>
      </c>
      <c r="E380" s="18" t="s">
        <v>104</v>
      </c>
      <c r="F380" s="18" t="s">
        <v>104</v>
      </c>
      <c r="G380" s="18" t="s">
        <v>104</v>
      </c>
      <c r="H380" s="18" t="s">
        <v>104</v>
      </c>
      <c r="I380" s="18" t="s">
        <v>104</v>
      </c>
      <c r="J380" s="18" t="s">
        <v>104</v>
      </c>
      <c r="K380" s="18" t="s">
        <v>104</v>
      </c>
      <c r="L380" s="18" t="s">
        <v>104</v>
      </c>
      <c r="M380" s="2"/>
      <c r="N380" s="2"/>
      <c r="O380" s="2"/>
      <c r="P380" s="2"/>
      <c r="Q380" s="2"/>
      <c r="R380" s="2"/>
    </row>
    <row r="381" spans="1:18" ht="12" customHeight="1">
      <c r="A381" s="16"/>
      <c r="B381" s="19" t="s">
        <v>342</v>
      </c>
      <c r="C381" s="20">
        <v>160035</v>
      </c>
      <c r="D381" s="20">
        <v>672289</v>
      </c>
      <c r="E381" s="20">
        <v>776780</v>
      </c>
      <c r="F381" s="20">
        <v>513808</v>
      </c>
      <c r="G381" s="20">
        <v>304750</v>
      </c>
      <c r="H381" s="20">
        <v>19704</v>
      </c>
      <c r="I381" s="20">
        <v>209448</v>
      </c>
      <c r="J381" s="20">
        <v>256820</v>
      </c>
      <c r="K381" s="20">
        <v>164166</v>
      </c>
      <c r="L381" s="20">
        <v>124157</v>
      </c>
      <c r="M381" s="2"/>
      <c r="N381" s="2"/>
      <c r="O381" s="2"/>
      <c r="P381" s="2"/>
      <c r="Q381" s="2"/>
      <c r="R381" s="2"/>
    </row>
    <row r="382" spans="1:18" ht="12" customHeight="1">
      <c r="A382" s="16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2"/>
      <c r="N382" s="2"/>
      <c r="O382" s="2"/>
      <c r="P382" s="2"/>
      <c r="Q382" s="2"/>
      <c r="R382" s="2"/>
    </row>
    <row r="383" spans="1:18" ht="12" customHeight="1">
      <c r="A383" s="16"/>
      <c r="B383" s="19" t="s">
        <v>343</v>
      </c>
      <c r="C383" s="22">
        <v>52</v>
      </c>
      <c r="D383" s="22">
        <v>48</v>
      </c>
      <c r="E383" s="22">
        <v>42</v>
      </c>
      <c r="F383" s="22">
        <v>40</v>
      </c>
      <c r="G383" s="22">
        <v>38</v>
      </c>
      <c r="H383" s="22">
        <v>36</v>
      </c>
      <c r="I383" s="22">
        <v>25</v>
      </c>
      <c r="J383" s="22">
        <v>19</v>
      </c>
      <c r="K383" s="22">
        <v>15</v>
      </c>
      <c r="L383" s="22">
        <v>15</v>
      </c>
      <c r="M383" s="2"/>
      <c r="N383" s="2"/>
      <c r="O383" s="2"/>
      <c r="P383" s="2"/>
      <c r="Q383" s="2"/>
      <c r="R383" s="2"/>
    </row>
    <row r="384" spans="1:18" ht="12" customHeight="1">
      <c r="A384" s="16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2"/>
      <c r="N384" s="2"/>
      <c r="O384" s="2"/>
      <c r="P384" s="2"/>
      <c r="Q384" s="2"/>
      <c r="R384" s="2"/>
    </row>
    <row r="385" spans="1:18" ht="12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5.75" customHeight="1">
      <c r="A386" s="549" t="s">
        <v>344</v>
      </c>
      <c r="B386" s="55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2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23.25" customHeight="1">
      <c r="A388" s="13"/>
      <c r="B388" s="14" t="s">
        <v>32</v>
      </c>
      <c r="C388" s="15" t="s">
        <v>70</v>
      </c>
      <c r="D388" s="15" t="s">
        <v>71</v>
      </c>
      <c r="E388" s="15" t="s">
        <v>72</v>
      </c>
      <c r="F388" s="15" t="s">
        <v>73</v>
      </c>
      <c r="G388" s="15" t="s">
        <v>74</v>
      </c>
      <c r="H388" s="15" t="s">
        <v>75</v>
      </c>
      <c r="I388" s="15" t="s">
        <v>76</v>
      </c>
      <c r="J388" s="15" t="s">
        <v>77</v>
      </c>
      <c r="K388" s="15" t="s">
        <v>78</v>
      </c>
      <c r="L388" s="15" t="s">
        <v>79</v>
      </c>
      <c r="M388" s="2"/>
      <c r="N388" s="2"/>
      <c r="O388" s="2"/>
      <c r="P388" s="2"/>
      <c r="Q388" s="2"/>
      <c r="R388" s="2"/>
    </row>
    <row r="389" spans="1:18" ht="34.5" customHeight="1">
      <c r="A389" s="16"/>
      <c r="B389" s="17"/>
      <c r="C389" s="18" t="s">
        <v>80</v>
      </c>
      <c r="D389" s="18" t="s">
        <v>80</v>
      </c>
      <c r="E389" s="18" t="s">
        <v>80</v>
      </c>
      <c r="F389" s="18" t="s">
        <v>80</v>
      </c>
      <c r="G389" s="18" t="s">
        <v>80</v>
      </c>
      <c r="H389" s="18" t="s">
        <v>80</v>
      </c>
      <c r="I389" s="18" t="s">
        <v>80</v>
      </c>
      <c r="J389" s="18" t="s">
        <v>81</v>
      </c>
      <c r="K389" s="18" t="s">
        <v>81</v>
      </c>
      <c r="L389" s="18" t="s">
        <v>81</v>
      </c>
      <c r="M389" s="2"/>
      <c r="N389" s="2"/>
      <c r="O389" s="2"/>
      <c r="P389" s="2"/>
      <c r="Q389" s="2"/>
      <c r="R389" s="2"/>
    </row>
    <row r="390" spans="1:18" ht="12" customHeight="1">
      <c r="A390" s="23"/>
      <c r="B390" s="24" t="s">
        <v>345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"/>
      <c r="N390" s="2"/>
      <c r="O390" s="2"/>
      <c r="P390" s="2"/>
      <c r="Q390" s="2"/>
      <c r="R390" s="2"/>
    </row>
    <row r="391" spans="1:18" ht="12" customHeight="1">
      <c r="A391" s="16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2"/>
      <c r="N391" s="2"/>
      <c r="O391" s="2"/>
      <c r="P391" s="2"/>
      <c r="Q391" s="2"/>
      <c r="R391" s="2"/>
    </row>
    <row r="392" spans="1:18" ht="12" customHeight="1">
      <c r="A392" s="16"/>
      <c r="B392" s="19" t="s">
        <v>346</v>
      </c>
      <c r="C392" s="21">
        <v>1.59</v>
      </c>
      <c r="D392" s="21">
        <v>1.61</v>
      </c>
      <c r="E392" s="21">
        <v>1.6300000000000001</v>
      </c>
      <c r="F392" s="21">
        <v>1.49</v>
      </c>
      <c r="G392" s="21">
        <v>1.99</v>
      </c>
      <c r="H392" s="21">
        <v>1.48</v>
      </c>
      <c r="I392" s="21">
        <v>1.1800000000000002</v>
      </c>
      <c r="J392" s="21">
        <v>1.1600000000000001</v>
      </c>
      <c r="K392" s="21">
        <v>1.08</v>
      </c>
      <c r="L392" s="21">
        <v>1.25</v>
      </c>
      <c r="M392" s="2"/>
      <c r="N392" s="2"/>
      <c r="O392" s="2"/>
      <c r="P392" s="2"/>
      <c r="Q392" s="2"/>
      <c r="R392" s="2"/>
    </row>
    <row r="393" spans="1:18" ht="12" customHeight="1">
      <c r="A393" s="16"/>
      <c r="B393" s="19" t="s">
        <v>347</v>
      </c>
      <c r="C393" s="21">
        <v>2.3299999999999996</v>
      </c>
      <c r="D393" s="21">
        <v>2.3099999999999996</v>
      </c>
      <c r="E393" s="21">
        <v>2.4499999999999997</v>
      </c>
      <c r="F393" s="21">
        <v>2.0699999999999998</v>
      </c>
      <c r="G393" s="21">
        <v>2.94</v>
      </c>
      <c r="H393" s="21">
        <v>1.97</v>
      </c>
      <c r="I393" s="21">
        <v>1.46</v>
      </c>
      <c r="J393" s="21">
        <v>1.5</v>
      </c>
      <c r="K393" s="21">
        <v>1.35</v>
      </c>
      <c r="L393" s="21">
        <v>1.54</v>
      </c>
      <c r="M393" s="2"/>
      <c r="N393" s="2"/>
      <c r="O393" s="2"/>
      <c r="P393" s="2"/>
      <c r="Q393" s="2"/>
      <c r="R393" s="2"/>
    </row>
    <row r="394" spans="1:18" ht="12" customHeight="1">
      <c r="A394" s="16"/>
      <c r="B394" s="19" t="s">
        <v>348</v>
      </c>
      <c r="C394" s="21">
        <v>0.47000000000000003</v>
      </c>
      <c r="D394" s="21">
        <v>0.5</v>
      </c>
      <c r="E394" s="21">
        <v>0.44</v>
      </c>
      <c r="F394" s="21">
        <v>0.53</v>
      </c>
      <c r="G394" s="21">
        <v>0.34</v>
      </c>
      <c r="H394" s="21">
        <v>0.44</v>
      </c>
      <c r="I394" s="21">
        <v>0.56000000000000005</v>
      </c>
      <c r="J394" s="21">
        <v>0.46</v>
      </c>
      <c r="K394" s="21">
        <v>0.52</v>
      </c>
      <c r="L394" s="21">
        <v>0.45</v>
      </c>
      <c r="M394" s="2"/>
      <c r="N394" s="2"/>
      <c r="O394" s="2"/>
      <c r="P394" s="2"/>
      <c r="Q394" s="2"/>
      <c r="R394" s="2"/>
    </row>
    <row r="395" spans="1:18" ht="12" customHeight="1">
      <c r="A395" s="16"/>
      <c r="B395" s="19" t="s">
        <v>349</v>
      </c>
      <c r="C395" s="21">
        <v>0.53</v>
      </c>
      <c r="D395" s="21">
        <v>0.5</v>
      </c>
      <c r="E395" s="21">
        <v>0.56000000000000005</v>
      </c>
      <c r="F395" s="21">
        <v>0.47000000000000003</v>
      </c>
      <c r="G395" s="21">
        <v>0.66000000000000014</v>
      </c>
      <c r="H395" s="21">
        <v>0.56000000000000005</v>
      </c>
      <c r="I395" s="21">
        <v>0.44</v>
      </c>
      <c r="J395" s="21">
        <v>0.54</v>
      </c>
      <c r="K395" s="21">
        <v>0.48000000000000004</v>
      </c>
      <c r="L395" s="21">
        <v>0.55000000000000004</v>
      </c>
      <c r="M395" s="2"/>
      <c r="N395" s="2"/>
      <c r="O395" s="2"/>
      <c r="P395" s="2"/>
      <c r="Q395" s="2"/>
      <c r="R395" s="2"/>
    </row>
    <row r="396" spans="1:18" ht="12" customHeight="1">
      <c r="A396" s="16"/>
      <c r="B396" s="19" t="s">
        <v>350</v>
      </c>
      <c r="C396" s="21">
        <v>0.21000000000000002</v>
      </c>
      <c r="D396" s="21">
        <v>0.2</v>
      </c>
      <c r="E396" s="21">
        <v>0.15000000000000002</v>
      </c>
      <c r="F396" s="21">
        <v>0.2</v>
      </c>
      <c r="G396" s="21">
        <v>0.17</v>
      </c>
      <c r="H396" s="21">
        <v>0.17</v>
      </c>
      <c r="I396" s="21">
        <v>0.18</v>
      </c>
      <c r="J396" s="21">
        <v>0.29000000000000004</v>
      </c>
      <c r="K396" s="21">
        <v>0.82000000000000006</v>
      </c>
      <c r="L396" s="21">
        <v>0.5</v>
      </c>
      <c r="M396" s="2"/>
      <c r="N396" s="2"/>
      <c r="O396" s="2"/>
      <c r="P396" s="2"/>
      <c r="Q396" s="2"/>
      <c r="R396" s="2"/>
    </row>
    <row r="397" spans="1:18" ht="12" customHeight="1">
      <c r="A397" s="16"/>
      <c r="B397" s="19" t="s">
        <v>351</v>
      </c>
      <c r="C397" s="18" t="s">
        <v>104</v>
      </c>
      <c r="D397" s="18" t="s">
        <v>104</v>
      </c>
      <c r="E397" s="18" t="s">
        <v>104</v>
      </c>
      <c r="F397" s="18" t="s">
        <v>104</v>
      </c>
      <c r="G397" s="18" t="s">
        <v>104</v>
      </c>
      <c r="H397" s="18" t="s">
        <v>104</v>
      </c>
      <c r="I397" s="18" t="s">
        <v>104</v>
      </c>
      <c r="J397" s="21">
        <v>2.75</v>
      </c>
      <c r="K397" s="21">
        <v>2.04</v>
      </c>
      <c r="L397" s="21">
        <v>1.53</v>
      </c>
      <c r="M397" s="2"/>
      <c r="N397" s="2"/>
      <c r="O397" s="2"/>
      <c r="P397" s="2"/>
      <c r="Q397" s="2"/>
      <c r="R397" s="2"/>
    </row>
    <row r="398" spans="1:18" ht="12" customHeight="1">
      <c r="A398" s="16"/>
      <c r="B398" s="19" t="s">
        <v>352</v>
      </c>
      <c r="C398" s="21">
        <v>4.18</v>
      </c>
      <c r="D398" s="21">
        <v>4.09</v>
      </c>
      <c r="E398" s="21">
        <v>4.8199999999999994</v>
      </c>
      <c r="F398" s="21">
        <v>6.07</v>
      </c>
      <c r="G398" s="21">
        <v>7.5</v>
      </c>
      <c r="H398" s="21">
        <v>10.32</v>
      </c>
      <c r="I398" s="21">
        <v>11.2</v>
      </c>
      <c r="J398" s="21">
        <v>12.17</v>
      </c>
      <c r="K398" s="21">
        <v>24.650000000000002</v>
      </c>
      <c r="L398" s="21">
        <v>13.709999999999999</v>
      </c>
      <c r="M398" s="2"/>
      <c r="N398" s="2"/>
      <c r="O398" s="2"/>
      <c r="P398" s="2"/>
      <c r="Q398" s="2"/>
      <c r="R398" s="2"/>
    </row>
    <row r="399" spans="1:18" ht="12" customHeight="1">
      <c r="A399" s="16"/>
      <c r="B399" s="19" t="s">
        <v>353</v>
      </c>
      <c r="C399" s="21">
        <v>3.7</v>
      </c>
      <c r="D399" s="21">
        <v>4.49</v>
      </c>
      <c r="E399" s="21">
        <v>4.4000000000000004</v>
      </c>
      <c r="F399" s="21">
        <v>5.73</v>
      </c>
      <c r="G399" s="21">
        <v>8.629999999999999</v>
      </c>
      <c r="H399" s="21">
        <v>6.8</v>
      </c>
      <c r="I399" s="21">
        <v>4.91</v>
      </c>
      <c r="J399" s="21">
        <v>4.54</v>
      </c>
      <c r="K399" s="21">
        <v>7.54</v>
      </c>
      <c r="L399" s="21">
        <v>8.1199999999999992</v>
      </c>
      <c r="M399" s="2"/>
      <c r="N399" s="2"/>
      <c r="O399" s="2"/>
      <c r="P399" s="2"/>
      <c r="Q399" s="2"/>
      <c r="R399" s="2"/>
    </row>
    <row r="400" spans="1:18" ht="12" customHeight="1">
      <c r="A400" s="16"/>
      <c r="B400" s="19" t="s">
        <v>354</v>
      </c>
      <c r="C400" s="21">
        <v>36.49</v>
      </c>
      <c r="D400" s="21">
        <v>35.17</v>
      </c>
      <c r="E400" s="21">
        <v>28.68</v>
      </c>
      <c r="F400" s="21">
        <v>25.19</v>
      </c>
      <c r="G400" s="21">
        <v>32.449999999999996</v>
      </c>
      <c r="H400" s="21">
        <v>27.67</v>
      </c>
      <c r="I400" s="21">
        <v>25.150000000000002</v>
      </c>
      <c r="J400" s="21">
        <v>13.44</v>
      </c>
      <c r="K400" s="21">
        <v>9.66</v>
      </c>
      <c r="L400" s="21">
        <v>13.55</v>
      </c>
      <c r="M400" s="2"/>
      <c r="N400" s="2"/>
      <c r="O400" s="2"/>
      <c r="P400" s="2"/>
      <c r="Q400" s="2"/>
      <c r="R400" s="2"/>
    </row>
    <row r="401" spans="1:18" ht="12" customHeight="1">
      <c r="A401" s="16"/>
      <c r="B401" s="19" t="s">
        <v>355</v>
      </c>
      <c r="C401" s="21">
        <v>6.79</v>
      </c>
      <c r="D401" s="21">
        <v>7.2700000000000005</v>
      </c>
      <c r="E401" s="21">
        <v>5.78</v>
      </c>
      <c r="F401" s="21">
        <v>5.45</v>
      </c>
      <c r="G401" s="21">
        <v>5.57</v>
      </c>
      <c r="H401" s="21">
        <v>6.56</v>
      </c>
      <c r="I401" s="21">
        <v>5.98</v>
      </c>
      <c r="J401" s="21">
        <v>13.709999999999999</v>
      </c>
      <c r="K401" s="18" t="s">
        <v>356</v>
      </c>
      <c r="L401" s="21">
        <v>18.330000000000002</v>
      </c>
      <c r="M401" s="2"/>
      <c r="N401" s="2"/>
      <c r="O401" s="2"/>
      <c r="P401" s="2"/>
      <c r="Q401" s="2"/>
      <c r="R401" s="2"/>
    </row>
    <row r="402" spans="1:18" ht="12" customHeight="1">
      <c r="A402" s="16"/>
      <c r="B402" s="19" t="s">
        <v>357</v>
      </c>
      <c r="C402" s="21">
        <v>2.7800000000000002</v>
      </c>
      <c r="D402" s="21">
        <v>3.96</v>
      </c>
      <c r="E402" s="21">
        <v>6.7</v>
      </c>
      <c r="F402" s="21">
        <v>8.48</v>
      </c>
      <c r="G402" s="21">
        <v>5.33</v>
      </c>
      <c r="H402" s="21">
        <v>3.66</v>
      </c>
      <c r="I402" s="21">
        <v>3.72</v>
      </c>
      <c r="J402" s="21">
        <v>3.9299999999999997</v>
      </c>
      <c r="K402" s="21">
        <v>3.2600000000000002</v>
      </c>
      <c r="L402" s="21">
        <v>2.75</v>
      </c>
      <c r="M402" s="2"/>
      <c r="N402" s="2"/>
      <c r="O402" s="2"/>
      <c r="P402" s="2"/>
      <c r="Q402" s="2"/>
      <c r="R402" s="2"/>
    </row>
    <row r="403" spans="1:18" ht="12" customHeight="1">
      <c r="A403" s="16"/>
      <c r="B403" s="19" t="s">
        <v>358</v>
      </c>
      <c r="C403" s="21">
        <v>2.48</v>
      </c>
      <c r="D403" s="21">
        <v>2.56</v>
      </c>
      <c r="E403" s="21">
        <v>1.6600000000000001</v>
      </c>
      <c r="F403" s="21">
        <v>1.37</v>
      </c>
      <c r="G403" s="21">
        <v>1.81</v>
      </c>
      <c r="H403" s="21">
        <v>1.82</v>
      </c>
      <c r="I403" s="21">
        <v>1.5</v>
      </c>
      <c r="J403" s="21">
        <v>1.84</v>
      </c>
      <c r="K403" s="21">
        <v>2.02</v>
      </c>
      <c r="L403" s="21">
        <v>2.48</v>
      </c>
      <c r="M403" s="2"/>
      <c r="N403" s="2"/>
      <c r="O403" s="2"/>
      <c r="P403" s="2"/>
      <c r="Q403" s="2"/>
      <c r="R403" s="2"/>
    </row>
    <row r="404" spans="1:18" ht="12" customHeight="1">
      <c r="A404" s="16"/>
      <c r="B404" s="19" t="s">
        <v>359</v>
      </c>
      <c r="C404" s="21">
        <v>23.9</v>
      </c>
      <c r="D404" s="21">
        <v>24.43</v>
      </c>
      <c r="E404" s="21">
        <v>20.75</v>
      </c>
      <c r="F404" s="21">
        <v>16.479999999999997</v>
      </c>
      <c r="G404" s="21">
        <v>13.34</v>
      </c>
      <c r="H404" s="21">
        <v>9.69</v>
      </c>
      <c r="I404" s="21">
        <v>8.93</v>
      </c>
      <c r="J404" s="21">
        <v>8.2199999999999989</v>
      </c>
      <c r="K404" s="21">
        <v>4.0599999999999996</v>
      </c>
      <c r="L404" s="21">
        <v>7.29</v>
      </c>
      <c r="M404" s="2"/>
      <c r="N404" s="2"/>
      <c r="O404" s="2"/>
      <c r="P404" s="2"/>
      <c r="Q404" s="2"/>
      <c r="R404" s="2"/>
    </row>
    <row r="405" spans="1:18" ht="12" customHeight="1">
      <c r="A405" s="16"/>
      <c r="B405" s="19" t="s">
        <v>360</v>
      </c>
      <c r="C405" s="21">
        <v>0.34</v>
      </c>
      <c r="D405" s="21">
        <v>0.35000000000000003</v>
      </c>
      <c r="E405" s="21">
        <v>0.28000000000000003</v>
      </c>
      <c r="F405" s="21">
        <v>0.21000000000000002</v>
      </c>
      <c r="G405" s="21">
        <v>0.16</v>
      </c>
      <c r="H405" s="21">
        <v>0.11</v>
      </c>
      <c r="I405" s="21">
        <v>0.1</v>
      </c>
      <c r="J405" s="21">
        <v>0.09</v>
      </c>
      <c r="K405" s="21">
        <v>0.04</v>
      </c>
      <c r="L405" s="21">
        <v>0.08</v>
      </c>
      <c r="M405" s="2"/>
      <c r="N405" s="2"/>
      <c r="O405" s="2"/>
      <c r="P405" s="2"/>
      <c r="Q405" s="2"/>
      <c r="R405" s="2"/>
    </row>
    <row r="406" spans="1:18" ht="12" customHeight="1">
      <c r="A406" s="16"/>
      <c r="B406" s="19" t="s">
        <v>361</v>
      </c>
      <c r="C406" s="21">
        <v>5455097</v>
      </c>
      <c r="D406" s="21">
        <v>5886637</v>
      </c>
      <c r="E406" s="21">
        <v>4714792</v>
      </c>
      <c r="F406" s="21">
        <v>4399459</v>
      </c>
      <c r="G406" s="21">
        <v>2565050</v>
      </c>
      <c r="H406" s="21">
        <v>2849112</v>
      </c>
      <c r="I406" s="21">
        <v>3938981</v>
      </c>
      <c r="J406" s="21">
        <v>1176954</v>
      </c>
      <c r="K406" s="21">
        <v>749968</v>
      </c>
      <c r="L406" s="21">
        <v>862739</v>
      </c>
      <c r="M406" s="2"/>
      <c r="N406" s="2"/>
      <c r="O406" s="2"/>
      <c r="P406" s="2"/>
      <c r="Q406" s="2"/>
      <c r="R406" s="2"/>
    </row>
    <row r="407" spans="1:18" ht="12" customHeight="1">
      <c r="A407" s="16"/>
      <c r="B407" s="19" t="s">
        <v>362</v>
      </c>
      <c r="C407" s="21">
        <v>2.16</v>
      </c>
      <c r="D407" s="21">
        <v>2.15</v>
      </c>
      <c r="E407" s="21">
        <v>2.38</v>
      </c>
      <c r="F407" s="21">
        <v>3.03</v>
      </c>
      <c r="G407" s="21">
        <v>3.1</v>
      </c>
      <c r="H407" s="21">
        <v>4.41</v>
      </c>
      <c r="I407" s="21">
        <v>6.2</v>
      </c>
      <c r="J407" s="21">
        <v>2.88</v>
      </c>
      <c r="K407" s="21">
        <v>4.4400000000000004</v>
      </c>
      <c r="L407" s="21">
        <v>2.7600000000000002</v>
      </c>
      <c r="M407" s="2"/>
      <c r="N407" s="2"/>
      <c r="O407" s="2"/>
      <c r="P407" s="2"/>
      <c r="Q407" s="2"/>
      <c r="R407" s="2"/>
    </row>
    <row r="408" spans="1:18" ht="12" customHeight="1">
      <c r="A408" s="16"/>
      <c r="B408" s="19" t="s">
        <v>363</v>
      </c>
      <c r="C408" s="21">
        <v>6.28</v>
      </c>
      <c r="D408" s="21">
        <v>4.17</v>
      </c>
      <c r="E408" s="21">
        <v>3.34</v>
      </c>
      <c r="F408" s="21">
        <v>3.05</v>
      </c>
      <c r="G408" s="21">
        <v>3.3699999999999997</v>
      </c>
      <c r="H408" s="21">
        <v>4.1599999999999993</v>
      </c>
      <c r="I408" s="21">
        <v>6.68</v>
      </c>
      <c r="J408" s="21">
        <v>1.86</v>
      </c>
      <c r="K408" s="21">
        <v>1.47</v>
      </c>
      <c r="L408" s="21">
        <v>1.98</v>
      </c>
      <c r="M408" s="2"/>
      <c r="N408" s="2"/>
      <c r="O408" s="2"/>
      <c r="P408" s="2"/>
      <c r="Q408" s="2"/>
      <c r="R408" s="2"/>
    </row>
    <row r="409" spans="1:18" ht="12" customHeight="1">
      <c r="A409" s="16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2"/>
      <c r="N409" s="2"/>
      <c r="O409" s="2"/>
      <c r="P409" s="2"/>
      <c r="Q409" s="2"/>
      <c r="R409" s="2"/>
    </row>
    <row r="410" spans="1:18" ht="12" customHeight="1">
      <c r="A410" s="23"/>
      <c r="B410" s="24" t="s">
        <v>364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"/>
      <c r="N410" s="2"/>
      <c r="O410" s="2"/>
      <c r="P410" s="2"/>
      <c r="Q410" s="2"/>
      <c r="R410" s="2"/>
    </row>
    <row r="411" spans="1:18" ht="12" customHeight="1">
      <c r="A411" s="16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2"/>
      <c r="N411" s="2"/>
      <c r="O411" s="2"/>
      <c r="P411" s="2"/>
      <c r="Q411" s="2"/>
      <c r="R411" s="2"/>
    </row>
    <row r="412" spans="1:18" ht="12" customHeight="1">
      <c r="A412" s="16"/>
      <c r="B412" s="19" t="s">
        <v>365</v>
      </c>
      <c r="C412" s="21">
        <v>1.1500000000000001</v>
      </c>
      <c r="D412" s="21">
        <v>1.1900000000000002</v>
      </c>
      <c r="E412" s="21">
        <v>1.27</v>
      </c>
      <c r="F412" s="21">
        <v>1.29</v>
      </c>
      <c r="G412" s="21">
        <v>1.1800000000000002</v>
      </c>
      <c r="H412" s="21">
        <v>1.42</v>
      </c>
      <c r="I412" s="21">
        <v>1.42</v>
      </c>
      <c r="J412" s="21">
        <v>1.6900000000000002</v>
      </c>
      <c r="K412" s="21">
        <v>1.8</v>
      </c>
      <c r="L412" s="21">
        <v>1.43</v>
      </c>
      <c r="M412" s="2"/>
      <c r="N412" s="2"/>
      <c r="O412" s="2"/>
      <c r="P412" s="2"/>
      <c r="Q412" s="2"/>
      <c r="R412" s="2"/>
    </row>
    <row r="413" spans="1:18" ht="12" customHeight="1">
      <c r="A413" s="16"/>
      <c r="B413" s="19" t="s">
        <v>366</v>
      </c>
      <c r="C413" s="21">
        <v>1.48</v>
      </c>
      <c r="D413" s="21">
        <v>1.47</v>
      </c>
      <c r="E413" s="21">
        <v>1.6</v>
      </c>
      <c r="F413" s="21">
        <v>1.51</v>
      </c>
      <c r="G413" s="21">
        <v>1.46</v>
      </c>
      <c r="H413" s="21">
        <v>1.94</v>
      </c>
      <c r="I413" s="21">
        <v>2</v>
      </c>
      <c r="J413" s="21">
        <v>2.79</v>
      </c>
      <c r="K413" s="21">
        <v>2.7600000000000002</v>
      </c>
      <c r="L413" s="21">
        <v>2.3299999999999996</v>
      </c>
      <c r="M413" s="2"/>
      <c r="N413" s="2"/>
      <c r="O413" s="2"/>
      <c r="P413" s="2"/>
      <c r="Q413" s="2"/>
      <c r="R413" s="2"/>
    </row>
    <row r="414" spans="1:18" ht="12" customHeight="1">
      <c r="A414" s="16"/>
      <c r="B414" s="19" t="s">
        <v>367</v>
      </c>
      <c r="C414" s="21">
        <v>16.399999999999999</v>
      </c>
      <c r="D414" s="21">
        <v>17.41</v>
      </c>
      <c r="E414" s="21">
        <v>16.690000000000001</v>
      </c>
      <c r="F414" s="21">
        <v>13.04</v>
      </c>
      <c r="G414" s="21">
        <v>22.23</v>
      </c>
      <c r="H414" s="21">
        <v>23.88</v>
      </c>
      <c r="I414" s="21">
        <v>21.71</v>
      </c>
      <c r="J414" s="21">
        <v>11.11</v>
      </c>
      <c r="K414" s="21">
        <v>9.2099999999999991</v>
      </c>
      <c r="L414" s="21">
        <v>12.61</v>
      </c>
      <c r="M414" s="2"/>
      <c r="N414" s="2"/>
      <c r="O414" s="2"/>
      <c r="P414" s="2"/>
      <c r="Q414" s="2"/>
      <c r="R414" s="2"/>
    </row>
    <row r="415" spans="1:18" ht="12" customHeight="1">
      <c r="A415" s="16"/>
      <c r="B415" s="19" t="s">
        <v>368</v>
      </c>
      <c r="C415" s="21">
        <v>76.149999999999991</v>
      </c>
      <c r="D415" s="21">
        <v>72.34</v>
      </c>
      <c r="E415" s="21">
        <v>72.940000000000012</v>
      </c>
      <c r="F415" s="21">
        <v>62.08</v>
      </c>
      <c r="G415" s="21">
        <v>74.460000000000008</v>
      </c>
      <c r="H415" s="21">
        <v>43.01</v>
      </c>
      <c r="I415" s="21">
        <v>33.290000000000006</v>
      </c>
      <c r="J415" s="21">
        <v>28.4</v>
      </c>
      <c r="K415" s="21">
        <v>25.7</v>
      </c>
      <c r="L415" s="21">
        <v>28.51</v>
      </c>
      <c r="M415" s="2"/>
      <c r="N415" s="2"/>
      <c r="O415" s="2"/>
      <c r="P415" s="2"/>
      <c r="Q415" s="2"/>
      <c r="R415" s="2"/>
    </row>
    <row r="416" spans="1:18" ht="12" customHeight="1">
      <c r="A416" s="16"/>
      <c r="B416" s="19" t="s">
        <v>369</v>
      </c>
      <c r="C416" s="21">
        <v>158.38000000000002</v>
      </c>
      <c r="D416" s="21">
        <v>156.96</v>
      </c>
      <c r="E416" s="21">
        <v>149.66</v>
      </c>
      <c r="F416" s="21">
        <v>130.88000000000002</v>
      </c>
      <c r="G416" s="21">
        <v>160.72999999999999</v>
      </c>
      <c r="H416" s="21">
        <v>89.9</v>
      </c>
      <c r="I416" s="21">
        <v>64.849999999999994</v>
      </c>
      <c r="J416" s="21">
        <v>54.42</v>
      </c>
      <c r="K416" s="21">
        <v>48.78</v>
      </c>
      <c r="L416" s="21">
        <v>51.33</v>
      </c>
      <c r="M416" s="2"/>
      <c r="N416" s="2"/>
      <c r="O416" s="2"/>
      <c r="P416" s="2"/>
      <c r="Q416" s="2"/>
      <c r="R416" s="2"/>
    </row>
    <row r="417" spans="1:18" ht="12" customHeight="1">
      <c r="A417" s="16"/>
      <c r="B417" s="19" t="s">
        <v>370</v>
      </c>
      <c r="C417" s="21">
        <v>22.1</v>
      </c>
      <c r="D417" s="21">
        <v>21.959999999999997</v>
      </c>
      <c r="E417" s="21">
        <v>34.479999999999997</v>
      </c>
      <c r="F417" s="21">
        <v>36.56</v>
      </c>
      <c r="G417" s="21">
        <v>47.1</v>
      </c>
      <c r="H417" s="21">
        <v>80.38</v>
      </c>
      <c r="I417" s="21">
        <v>91.73</v>
      </c>
      <c r="J417" s="21">
        <v>61.55</v>
      </c>
      <c r="K417" s="21">
        <v>58.43</v>
      </c>
      <c r="L417" s="21">
        <v>75.39</v>
      </c>
      <c r="M417" s="2"/>
      <c r="N417" s="2"/>
      <c r="O417" s="2"/>
      <c r="P417" s="2"/>
      <c r="Q417" s="2"/>
      <c r="R417" s="2"/>
    </row>
    <row r="418" spans="1:18" ht="12" customHeight="1">
      <c r="A418" s="16"/>
      <c r="B418" s="19" t="s">
        <v>371</v>
      </c>
      <c r="C418" s="21">
        <v>50.06</v>
      </c>
      <c r="D418" s="21">
        <v>41.690000000000005</v>
      </c>
      <c r="E418" s="21">
        <v>59.03</v>
      </c>
      <c r="F418" s="21">
        <v>69.410000000000011</v>
      </c>
      <c r="G418" s="21">
        <v>49.67</v>
      </c>
      <c r="H418" s="21">
        <v>44.65</v>
      </c>
      <c r="I418" s="21">
        <v>54.120000000000005</v>
      </c>
      <c r="J418" s="21">
        <v>58.849999999999994</v>
      </c>
      <c r="K418" s="21">
        <v>59.86</v>
      </c>
      <c r="L418" s="21">
        <v>67.290000000000006</v>
      </c>
      <c r="M418" s="2"/>
      <c r="N418" s="2"/>
      <c r="O418" s="2"/>
      <c r="P418" s="2"/>
      <c r="Q418" s="2"/>
      <c r="R418" s="2"/>
    </row>
    <row r="419" spans="1:18" ht="12" customHeight="1">
      <c r="A419" s="16"/>
      <c r="B419" s="19" t="s">
        <v>372</v>
      </c>
      <c r="C419" s="21">
        <v>130.42000000000002</v>
      </c>
      <c r="D419" s="21">
        <v>137.22999999999999</v>
      </c>
      <c r="E419" s="21">
        <v>125.11</v>
      </c>
      <c r="F419" s="21">
        <v>98.03</v>
      </c>
      <c r="G419" s="21">
        <v>158.16</v>
      </c>
      <c r="H419" s="21">
        <v>125.63</v>
      </c>
      <c r="I419" s="21">
        <v>102.46000000000001</v>
      </c>
      <c r="J419" s="21">
        <v>57.120000000000005</v>
      </c>
      <c r="K419" s="21">
        <v>47.339999999999996</v>
      </c>
      <c r="L419" s="21">
        <v>59.43</v>
      </c>
      <c r="M419" s="2"/>
      <c r="N419" s="2"/>
      <c r="O419" s="2"/>
      <c r="P419" s="2"/>
      <c r="Q419" s="2"/>
      <c r="R419" s="2"/>
    </row>
    <row r="420" spans="1:18" ht="12" customHeight="1">
      <c r="A420" s="16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2"/>
      <c r="N420" s="2"/>
      <c r="O420" s="2"/>
      <c r="P420" s="2"/>
      <c r="Q420" s="2"/>
      <c r="R420" s="2"/>
    </row>
    <row r="421" spans="1:18" ht="12" customHeight="1">
      <c r="A421" s="23"/>
      <c r="B421" s="24" t="s">
        <v>373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"/>
      <c r="N421" s="2"/>
      <c r="O421" s="2"/>
      <c r="P421" s="2"/>
      <c r="Q421" s="2"/>
      <c r="R421" s="2"/>
    </row>
    <row r="422" spans="1:18" ht="12" customHeight="1">
      <c r="A422" s="16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2"/>
      <c r="N422" s="2"/>
      <c r="O422" s="2"/>
      <c r="P422" s="2"/>
      <c r="Q422" s="2"/>
      <c r="R422" s="2"/>
    </row>
    <row r="423" spans="1:18" ht="12" customHeight="1">
      <c r="A423" s="16"/>
      <c r="B423" s="19" t="s">
        <v>374</v>
      </c>
      <c r="C423" s="20">
        <v>1062376</v>
      </c>
      <c r="D423" s="20">
        <v>1513067</v>
      </c>
      <c r="E423" s="20">
        <v>1608701</v>
      </c>
      <c r="F423" s="20">
        <v>1473280</v>
      </c>
      <c r="G423" s="20">
        <v>889518</v>
      </c>
      <c r="H423" s="20">
        <v>701754</v>
      </c>
      <c r="I423" s="20">
        <v>595594</v>
      </c>
      <c r="J423" s="20">
        <v>670640</v>
      </c>
      <c r="K423" s="20">
        <v>532113</v>
      </c>
      <c r="L423" s="20">
        <v>445108</v>
      </c>
      <c r="M423" s="2"/>
      <c r="N423" s="2"/>
      <c r="O423" s="2"/>
      <c r="P423" s="2"/>
      <c r="Q423" s="2"/>
      <c r="R423" s="2"/>
    </row>
    <row r="424" spans="1:18" ht="12" customHeight="1">
      <c r="A424" s="16"/>
      <c r="B424" s="19" t="s">
        <v>375</v>
      </c>
      <c r="C424" s="21">
        <v>6.9</v>
      </c>
      <c r="D424" s="21">
        <v>10.119999999999999</v>
      </c>
      <c r="E424" s="21">
        <v>11.12</v>
      </c>
      <c r="F424" s="21">
        <v>11.639999999999999</v>
      </c>
      <c r="G424" s="21">
        <v>9.6199999999999992</v>
      </c>
      <c r="H424" s="21">
        <v>6.64</v>
      </c>
      <c r="I424" s="21">
        <v>5.59</v>
      </c>
      <c r="J424" s="21">
        <v>7.24</v>
      </c>
      <c r="K424" s="21">
        <v>6.57</v>
      </c>
      <c r="L424" s="21">
        <v>6.83</v>
      </c>
      <c r="M424" s="2"/>
      <c r="N424" s="2"/>
      <c r="O424" s="2"/>
      <c r="P424" s="2"/>
      <c r="Q424" s="2"/>
      <c r="R424" s="2"/>
    </row>
    <row r="425" spans="1:18" ht="12" customHeight="1">
      <c r="A425" s="16"/>
      <c r="B425" s="19" t="s">
        <v>376</v>
      </c>
      <c r="C425" s="21">
        <v>4.24</v>
      </c>
      <c r="D425" s="21">
        <v>9.2299999999999986</v>
      </c>
      <c r="E425" s="21">
        <v>11.54</v>
      </c>
      <c r="F425" s="21">
        <v>9.89</v>
      </c>
      <c r="G425" s="21">
        <v>7.54</v>
      </c>
      <c r="H425" s="21">
        <v>4.5199999999999996</v>
      </c>
      <c r="I425" s="21">
        <v>6.75</v>
      </c>
      <c r="J425" s="21">
        <v>10.350000000000001</v>
      </c>
      <c r="K425" s="21">
        <v>10.119999999999999</v>
      </c>
      <c r="L425" s="21">
        <v>8.15</v>
      </c>
      <c r="M425" s="2"/>
      <c r="N425" s="2"/>
      <c r="O425" s="2"/>
      <c r="P425" s="2"/>
      <c r="Q425" s="2"/>
      <c r="R425" s="2"/>
    </row>
    <row r="426" spans="1:18" ht="12" customHeight="1">
      <c r="A426" s="16"/>
      <c r="B426" s="19" t="s">
        <v>377</v>
      </c>
      <c r="C426" s="21">
        <v>5.6099999999999994</v>
      </c>
      <c r="D426" s="21">
        <v>11.97</v>
      </c>
      <c r="E426" s="21">
        <v>16.45</v>
      </c>
      <c r="F426" s="21">
        <v>14.89</v>
      </c>
      <c r="G426" s="21">
        <v>10.38</v>
      </c>
      <c r="H426" s="21">
        <v>6.3199999999999994</v>
      </c>
      <c r="I426" s="21">
        <v>10.5</v>
      </c>
      <c r="J426" s="21">
        <v>17.100000000000001</v>
      </c>
      <c r="K426" s="21">
        <v>16.45</v>
      </c>
      <c r="L426" s="21">
        <v>11.58</v>
      </c>
      <c r="M426" s="2"/>
      <c r="N426" s="2"/>
      <c r="O426" s="2"/>
      <c r="P426" s="2"/>
      <c r="Q426" s="2"/>
      <c r="R426" s="2"/>
    </row>
    <row r="427" spans="1:18" ht="12" customHeight="1">
      <c r="A427" s="16"/>
      <c r="B427" s="19" t="s">
        <v>378</v>
      </c>
      <c r="C427" s="21">
        <v>3.56</v>
      </c>
      <c r="D427" s="21">
        <v>7.4</v>
      </c>
      <c r="E427" s="21">
        <v>8.68</v>
      </c>
      <c r="F427" s="21">
        <v>7.02</v>
      </c>
      <c r="G427" s="21">
        <v>5.92</v>
      </c>
      <c r="H427" s="21">
        <v>2.92</v>
      </c>
      <c r="I427" s="21">
        <v>4.5599999999999996</v>
      </c>
      <c r="J427" s="21">
        <v>5.89</v>
      </c>
      <c r="K427" s="21">
        <v>5.4300000000000006</v>
      </c>
      <c r="L427" s="21">
        <v>5.49</v>
      </c>
      <c r="M427" s="2"/>
      <c r="N427" s="2"/>
      <c r="O427" s="2"/>
      <c r="P427" s="2"/>
      <c r="Q427" s="2"/>
      <c r="R427" s="2"/>
    </row>
    <row r="428" spans="1:18" ht="12" customHeight="1">
      <c r="A428" s="16"/>
      <c r="B428" s="19" t="s">
        <v>379</v>
      </c>
      <c r="C428" s="21">
        <v>5.18</v>
      </c>
      <c r="D428" s="21">
        <v>22.95</v>
      </c>
      <c r="E428" s="21">
        <v>34.409999999999997</v>
      </c>
      <c r="F428" s="21">
        <v>34.700000000000003</v>
      </c>
      <c r="G428" s="21">
        <v>31.52</v>
      </c>
      <c r="H428" s="21">
        <v>2.98</v>
      </c>
      <c r="I428" s="21">
        <v>32.6</v>
      </c>
      <c r="J428" s="21">
        <v>59.309999999999995</v>
      </c>
      <c r="K428" s="21">
        <v>93.19</v>
      </c>
      <c r="L428" s="21">
        <v>38.760000000000005</v>
      </c>
      <c r="M428" s="2"/>
      <c r="N428" s="2"/>
      <c r="O428" s="2"/>
      <c r="P428" s="2"/>
      <c r="Q428" s="2"/>
      <c r="R428" s="2"/>
    </row>
    <row r="429" spans="1:18" ht="12" customHeight="1">
      <c r="A429" s="16"/>
      <c r="B429" s="19" t="s">
        <v>380</v>
      </c>
      <c r="C429" s="21">
        <v>29.2</v>
      </c>
      <c r="D429" s="21">
        <v>60.760000000000005</v>
      </c>
      <c r="E429" s="21">
        <v>61.86</v>
      </c>
      <c r="F429" s="21">
        <v>57.790000000000006</v>
      </c>
      <c r="G429" s="21">
        <v>55.730000000000004</v>
      </c>
      <c r="H429" s="21">
        <v>6.38</v>
      </c>
      <c r="I429" s="21">
        <v>43.14</v>
      </c>
      <c r="J429" s="21">
        <v>47.1</v>
      </c>
      <c r="K429" s="21">
        <v>37.369999999999997</v>
      </c>
      <c r="L429" s="21">
        <v>34.690000000000005</v>
      </c>
      <c r="M429" s="2"/>
      <c r="N429" s="2"/>
      <c r="O429" s="2"/>
      <c r="P429" s="2"/>
      <c r="Q429" s="2"/>
      <c r="R429" s="2"/>
    </row>
    <row r="430" spans="1:18" ht="12" customHeight="1">
      <c r="A430" s="16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2"/>
      <c r="N430" s="2"/>
      <c r="O430" s="2"/>
      <c r="P430" s="2"/>
      <c r="Q430" s="2"/>
      <c r="R430" s="2"/>
    </row>
    <row r="431" spans="1:18" ht="12" customHeight="1">
      <c r="A431" s="23"/>
      <c r="B431" s="24" t="s">
        <v>381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"/>
      <c r="N431" s="2"/>
      <c r="O431" s="2"/>
      <c r="P431" s="2"/>
      <c r="Q431" s="2"/>
      <c r="R431" s="2"/>
    </row>
    <row r="432" spans="1:18" ht="12" customHeight="1">
      <c r="A432" s="16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2"/>
      <c r="N432" s="2"/>
      <c r="O432" s="2"/>
      <c r="P432" s="2"/>
      <c r="Q432" s="2"/>
      <c r="R432" s="2"/>
    </row>
    <row r="433" spans="1:18" ht="12" customHeight="1">
      <c r="A433" s="16"/>
      <c r="B433" s="19" t="s">
        <v>382</v>
      </c>
      <c r="C433" s="22">
        <v>52</v>
      </c>
      <c r="D433" s="22">
        <v>48</v>
      </c>
      <c r="E433" s="22">
        <v>42</v>
      </c>
      <c r="F433" s="22">
        <v>40</v>
      </c>
      <c r="G433" s="22">
        <v>38</v>
      </c>
      <c r="H433" s="22">
        <v>36</v>
      </c>
      <c r="I433" s="22">
        <v>25</v>
      </c>
      <c r="J433" s="22">
        <v>19</v>
      </c>
      <c r="K433" s="22">
        <v>15</v>
      </c>
      <c r="L433" s="22">
        <v>15</v>
      </c>
      <c r="M433" s="2"/>
      <c r="N433" s="2"/>
      <c r="O433" s="2"/>
      <c r="P433" s="2"/>
      <c r="Q433" s="2"/>
      <c r="R433" s="2"/>
    </row>
    <row r="434" spans="1:18" ht="12" customHeight="1">
      <c r="A434" s="16"/>
      <c r="B434" s="19" t="s">
        <v>383</v>
      </c>
      <c r="C434" s="22">
        <v>296280</v>
      </c>
      <c r="D434" s="22">
        <v>311460</v>
      </c>
      <c r="E434" s="22">
        <v>344600</v>
      </c>
      <c r="F434" s="22">
        <v>316520</v>
      </c>
      <c r="G434" s="22">
        <v>243200</v>
      </c>
      <c r="H434" s="22">
        <v>293350</v>
      </c>
      <c r="I434" s="22">
        <v>426370</v>
      </c>
      <c r="J434" s="22">
        <v>487500</v>
      </c>
      <c r="K434" s="22">
        <v>539690</v>
      </c>
      <c r="L434" s="22">
        <v>434330</v>
      </c>
      <c r="M434" s="2"/>
      <c r="N434" s="2"/>
      <c r="O434" s="2"/>
      <c r="P434" s="2"/>
      <c r="Q434" s="2"/>
      <c r="R434" s="2"/>
    </row>
    <row r="435" spans="1:18" ht="12" customHeight="1">
      <c r="A435" s="16"/>
      <c r="B435" s="19" t="s">
        <v>384</v>
      </c>
      <c r="C435" s="22">
        <v>72240</v>
      </c>
      <c r="D435" s="22">
        <v>82610</v>
      </c>
      <c r="E435" s="22">
        <v>90300</v>
      </c>
      <c r="F435" s="22">
        <v>90040</v>
      </c>
      <c r="G435" s="22">
        <v>61640</v>
      </c>
      <c r="H435" s="22">
        <v>62730</v>
      </c>
      <c r="I435" s="22">
        <v>74260</v>
      </c>
      <c r="J435" s="22">
        <v>83510</v>
      </c>
      <c r="K435" s="22">
        <v>86820</v>
      </c>
      <c r="L435" s="22">
        <v>67150</v>
      </c>
      <c r="M435" s="2"/>
      <c r="N435" s="2"/>
      <c r="O435" s="2"/>
      <c r="P435" s="2"/>
      <c r="Q435" s="2"/>
      <c r="R435" s="2"/>
    </row>
    <row r="436" spans="1:18" ht="12" customHeight="1">
      <c r="A436" s="16"/>
      <c r="B436" s="19" t="s">
        <v>385</v>
      </c>
      <c r="C436" s="21">
        <v>51810</v>
      </c>
      <c r="D436" s="21">
        <v>51090</v>
      </c>
      <c r="E436" s="21">
        <v>51990</v>
      </c>
      <c r="F436" s="21">
        <v>53200</v>
      </c>
      <c r="G436" s="21">
        <v>38230</v>
      </c>
      <c r="H436" s="21">
        <v>43240</v>
      </c>
      <c r="I436" s="21">
        <v>50440</v>
      </c>
      <c r="J436" s="21">
        <v>48220</v>
      </c>
      <c r="K436" s="21">
        <v>51350</v>
      </c>
      <c r="L436" s="21">
        <v>37480</v>
      </c>
      <c r="M436" s="2"/>
      <c r="N436" s="2"/>
      <c r="O436" s="2"/>
      <c r="P436" s="2"/>
      <c r="Q436" s="2"/>
      <c r="R436" s="2"/>
    </row>
    <row r="437" spans="1:18" ht="12" customHeight="1">
      <c r="A437" s="16"/>
      <c r="B437" s="19" t="s">
        <v>386</v>
      </c>
      <c r="C437" s="21">
        <v>5.72</v>
      </c>
      <c r="D437" s="21">
        <v>6.1</v>
      </c>
      <c r="E437" s="21">
        <v>6.63</v>
      </c>
      <c r="F437" s="21">
        <v>5.95</v>
      </c>
      <c r="G437" s="21">
        <v>6.3599999999999994</v>
      </c>
      <c r="H437" s="21">
        <v>6.78</v>
      </c>
      <c r="I437" s="21">
        <v>8.4500000000000011</v>
      </c>
      <c r="J437" s="21">
        <v>10.11</v>
      </c>
      <c r="K437" s="21">
        <v>10.51</v>
      </c>
      <c r="L437" s="21">
        <v>11.59</v>
      </c>
      <c r="M437" s="2"/>
      <c r="N437" s="2"/>
      <c r="O437" s="2"/>
      <c r="P437" s="2"/>
      <c r="Q437" s="2"/>
      <c r="R437" s="2"/>
    </row>
    <row r="438" spans="1:18" ht="12" customHeight="1">
      <c r="A438" s="16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2"/>
      <c r="N438" s="2"/>
      <c r="O438" s="2"/>
      <c r="P438" s="2"/>
      <c r="Q438" s="2"/>
      <c r="R438" s="2"/>
    </row>
    <row r="439" spans="1:18" ht="12" customHeight="1">
      <c r="A439" s="23"/>
      <c r="B439" s="24" t="s">
        <v>387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"/>
      <c r="N439" s="2"/>
      <c r="O439" s="2"/>
      <c r="P439" s="2"/>
      <c r="Q439" s="2"/>
      <c r="R439" s="2"/>
    </row>
    <row r="440" spans="1:18" ht="12" customHeight="1">
      <c r="A440" s="16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2"/>
      <c r="N440" s="2"/>
      <c r="O440" s="2"/>
      <c r="P440" s="2"/>
      <c r="Q440" s="2"/>
      <c r="R440" s="2"/>
    </row>
    <row r="441" spans="1:18" ht="12" customHeight="1">
      <c r="A441" s="16"/>
      <c r="B441" s="19" t="s">
        <v>388</v>
      </c>
      <c r="C441" s="20">
        <v>5753643</v>
      </c>
      <c r="D441" s="20">
        <v>5531019</v>
      </c>
      <c r="E441" s="20">
        <v>5111968</v>
      </c>
      <c r="F441" s="20">
        <v>3986187</v>
      </c>
      <c r="G441" s="20">
        <v>3854148</v>
      </c>
      <c r="H441" s="20">
        <v>2469374</v>
      </c>
      <c r="I441" s="20">
        <v>1608138</v>
      </c>
      <c r="J441" s="20">
        <v>1064864</v>
      </c>
      <c r="K441" s="20">
        <v>729010</v>
      </c>
      <c r="L441" s="20">
        <v>949547</v>
      </c>
      <c r="M441" s="2"/>
      <c r="N441" s="2"/>
      <c r="O441" s="2"/>
      <c r="P441" s="2"/>
      <c r="Q441" s="2"/>
      <c r="R441" s="2"/>
    </row>
    <row r="442" spans="1:18" ht="12" customHeight="1">
      <c r="A442" s="16"/>
      <c r="B442" s="19" t="s">
        <v>389</v>
      </c>
      <c r="C442" s="20">
        <v>7477562</v>
      </c>
      <c r="D442" s="20">
        <v>7404286</v>
      </c>
      <c r="E442" s="20">
        <v>6728202</v>
      </c>
      <c r="F442" s="20">
        <v>5613726</v>
      </c>
      <c r="G442" s="20">
        <v>4271571</v>
      </c>
      <c r="H442" s="20">
        <v>4660352</v>
      </c>
      <c r="I442" s="20">
        <v>4749844</v>
      </c>
      <c r="J442" s="20">
        <v>4077965</v>
      </c>
      <c r="K442" s="20">
        <v>3541895</v>
      </c>
      <c r="L442" s="20">
        <v>2669377</v>
      </c>
      <c r="M442" s="2"/>
      <c r="N442" s="2"/>
      <c r="O442" s="2"/>
      <c r="P442" s="2"/>
      <c r="Q442" s="2"/>
      <c r="R442" s="2"/>
    </row>
    <row r="443" spans="1:18" ht="12" customHeight="1">
      <c r="A443" s="16"/>
      <c r="B443" s="19" t="s">
        <v>390</v>
      </c>
      <c r="C443" s="20">
        <v>-1896403</v>
      </c>
      <c r="D443" s="20">
        <v>-2473254</v>
      </c>
      <c r="E443" s="20">
        <v>-937553</v>
      </c>
      <c r="F443" s="20">
        <v>-1468917</v>
      </c>
      <c r="G443" s="20">
        <v>-117788</v>
      </c>
      <c r="H443" s="20">
        <v>152817</v>
      </c>
      <c r="I443" s="20">
        <v>-287495</v>
      </c>
      <c r="J443" s="20">
        <v>-275328</v>
      </c>
      <c r="K443" s="20">
        <v>-439462</v>
      </c>
      <c r="L443" s="20">
        <v>-118915</v>
      </c>
      <c r="M443" s="2"/>
      <c r="N443" s="2"/>
      <c r="O443" s="2"/>
      <c r="P443" s="2"/>
      <c r="Q443" s="2"/>
      <c r="R443" s="2"/>
    </row>
    <row r="444" spans="1:18" ht="12" customHeight="1">
      <c r="A444" s="16"/>
      <c r="B444" s="19" t="s">
        <v>391</v>
      </c>
      <c r="C444" s="20">
        <v>932197</v>
      </c>
      <c r="D444" s="20">
        <v>1332612</v>
      </c>
      <c r="E444" s="20">
        <v>724419</v>
      </c>
      <c r="F444" s="20">
        <v>644115</v>
      </c>
      <c r="G444" s="20">
        <v>403882</v>
      </c>
      <c r="H444" s="20">
        <v>84438</v>
      </c>
      <c r="I444" s="20">
        <v>-50109</v>
      </c>
      <c r="J444" s="20">
        <v>-211238</v>
      </c>
      <c r="K444" s="20">
        <v>-100170</v>
      </c>
      <c r="L444" s="20">
        <v>16484</v>
      </c>
      <c r="M444" s="2"/>
      <c r="N444" s="2"/>
      <c r="O444" s="2"/>
      <c r="P444" s="2"/>
      <c r="Q444" s="2"/>
      <c r="R444" s="2"/>
    </row>
    <row r="445" spans="1:18" ht="12" customHeight="1">
      <c r="A445" s="16"/>
      <c r="B445" s="19" t="s">
        <v>392</v>
      </c>
      <c r="C445" s="21">
        <v>674435</v>
      </c>
      <c r="D445" s="21">
        <v>1078947</v>
      </c>
      <c r="E445" s="21">
        <v>1129749</v>
      </c>
      <c r="F445" s="21">
        <v>1098042</v>
      </c>
      <c r="G445" s="21">
        <v>647402</v>
      </c>
      <c r="H445" s="21">
        <v>412803</v>
      </c>
      <c r="I445" s="21">
        <v>319499</v>
      </c>
      <c r="J445" s="21">
        <v>382248</v>
      </c>
      <c r="K445" s="21">
        <v>257013</v>
      </c>
      <c r="L445" s="21">
        <v>211370</v>
      </c>
      <c r="M445" s="2"/>
      <c r="N445" s="2"/>
      <c r="O445" s="2"/>
      <c r="P445" s="2"/>
      <c r="Q445" s="2"/>
      <c r="R445" s="2"/>
    </row>
    <row r="446" spans="1:18" ht="12" customHeight="1">
      <c r="A446" s="16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2"/>
      <c r="N446" s="2"/>
      <c r="O446" s="2"/>
      <c r="P446" s="2"/>
      <c r="Q446" s="2"/>
      <c r="R446" s="2"/>
    </row>
    <row r="447" spans="1:18" ht="12" customHeight="1">
      <c r="A447" s="543"/>
      <c r="B447" s="541"/>
      <c r="C447" s="541"/>
      <c r="D447" s="541"/>
      <c r="E447" s="541"/>
      <c r="F447" s="541"/>
      <c r="G447" s="541"/>
      <c r="H447" s="541"/>
      <c r="I447" s="541"/>
      <c r="J447" s="542"/>
      <c r="K447" s="2"/>
      <c r="L447" s="2"/>
      <c r="M447" s="2"/>
      <c r="N447" s="2"/>
      <c r="O447" s="2"/>
      <c r="P447" s="2"/>
      <c r="Q447" s="2"/>
      <c r="R447" s="2"/>
    </row>
    <row r="448" spans="1:18" ht="15.75" customHeight="1">
      <c r="A448" s="549" t="s">
        <v>393</v>
      </c>
      <c r="B448" s="550"/>
      <c r="C448" s="550"/>
      <c r="D448" s="550"/>
      <c r="E448" s="550"/>
      <c r="F448" s="550"/>
      <c r="G448" s="550"/>
      <c r="H448" s="550"/>
      <c r="I448" s="550"/>
      <c r="J448" s="551"/>
      <c r="K448" s="2"/>
      <c r="L448" s="2"/>
      <c r="M448" s="2"/>
      <c r="N448" s="2"/>
      <c r="O448" s="2"/>
      <c r="P448" s="2"/>
      <c r="Q448" s="2"/>
      <c r="R448" s="2"/>
    </row>
    <row r="449" spans="1:18" ht="12" customHeight="1">
      <c r="A449" s="543"/>
      <c r="B449" s="541"/>
      <c r="C449" s="541"/>
      <c r="D449" s="541"/>
      <c r="E449" s="541"/>
      <c r="F449" s="541"/>
      <c r="G449" s="541"/>
      <c r="H449" s="541"/>
      <c r="I449" s="541"/>
      <c r="J449" s="542"/>
      <c r="K449" s="2"/>
      <c r="L449" s="2"/>
      <c r="M449" s="2"/>
      <c r="N449" s="2"/>
      <c r="O449" s="2"/>
      <c r="P449" s="2"/>
      <c r="Q449" s="2"/>
      <c r="R449" s="2"/>
    </row>
    <row r="450" spans="1:18" ht="12" customHeight="1">
      <c r="A450" s="543"/>
      <c r="B450" s="541"/>
      <c r="C450" s="541"/>
      <c r="D450" s="54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2" customHeight="1">
      <c r="A451" s="553" t="s">
        <v>394</v>
      </c>
      <c r="B451" s="541"/>
      <c r="C451" s="541"/>
      <c r="D451" s="54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2" customHeight="1">
      <c r="A452" s="543"/>
      <c r="B452" s="541"/>
      <c r="C452" s="541"/>
      <c r="D452" s="54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2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5.75" customHeight="1">
      <c r="A454" s="549" t="s">
        <v>395</v>
      </c>
      <c r="B454" s="55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2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2" customHeight="1">
      <c r="A456" s="543"/>
      <c r="B456" s="541"/>
      <c r="C456" s="541"/>
      <c r="D456" s="54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2" customHeight="1">
      <c r="A457" s="553" t="s">
        <v>396</v>
      </c>
      <c r="B457" s="541"/>
      <c r="C457" s="541"/>
      <c r="D457" s="54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2" customHeight="1">
      <c r="A458" s="543"/>
      <c r="B458" s="541"/>
      <c r="C458" s="541"/>
      <c r="D458" s="54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2" customHeight="1">
      <c r="A459" s="543"/>
      <c r="B459" s="541"/>
      <c r="C459" s="541"/>
      <c r="D459" s="541"/>
      <c r="E459" s="541"/>
      <c r="F459" s="541"/>
      <c r="G459" s="541"/>
      <c r="H459" s="541"/>
      <c r="I459" s="541"/>
      <c r="J459" s="542"/>
      <c r="K459" s="2"/>
      <c r="L459" s="2"/>
      <c r="M459" s="2"/>
      <c r="N459" s="2"/>
      <c r="O459" s="2"/>
      <c r="P459" s="2"/>
      <c r="Q459" s="2"/>
      <c r="R459" s="2"/>
    </row>
    <row r="460" spans="1:18" ht="15.75" customHeight="1">
      <c r="A460" s="549" t="s">
        <v>397</v>
      </c>
      <c r="B460" s="550"/>
      <c r="C460" s="550"/>
      <c r="D460" s="550"/>
      <c r="E460" s="550"/>
      <c r="F460" s="550"/>
      <c r="G460" s="550"/>
      <c r="H460" s="550"/>
      <c r="I460" s="550"/>
      <c r="J460" s="551"/>
      <c r="K460" s="2"/>
      <c r="L460" s="2"/>
      <c r="M460" s="2"/>
      <c r="N460" s="2"/>
      <c r="O460" s="2"/>
      <c r="P460" s="2"/>
      <c r="Q460" s="2"/>
      <c r="R460" s="2"/>
    </row>
    <row r="461" spans="1:18" ht="12" customHeight="1">
      <c r="A461" s="543"/>
      <c r="B461" s="541"/>
      <c r="C461" s="541"/>
      <c r="D461" s="541"/>
      <c r="E461" s="541"/>
      <c r="F461" s="541"/>
      <c r="G461" s="541"/>
      <c r="H461" s="541"/>
      <c r="I461" s="541"/>
      <c r="J461" s="542"/>
      <c r="K461" s="2"/>
      <c r="L461" s="2"/>
      <c r="M461" s="2"/>
      <c r="N461" s="2"/>
      <c r="O461" s="2"/>
      <c r="P461" s="2"/>
      <c r="Q461" s="2"/>
      <c r="R461" s="2"/>
    </row>
    <row r="462" spans="1:18" ht="12" customHeight="1">
      <c r="A462" s="544" t="s">
        <v>398</v>
      </c>
      <c r="B462" s="541"/>
      <c r="C462" s="541"/>
      <c r="D462" s="541"/>
      <c r="E462" s="541"/>
      <c r="F462" s="541"/>
      <c r="G462" s="541"/>
      <c r="H462" s="541"/>
      <c r="I462" s="541"/>
      <c r="J462" s="542"/>
      <c r="K462" s="2"/>
      <c r="L462" s="2"/>
      <c r="M462" s="2"/>
      <c r="N462" s="2"/>
      <c r="O462" s="2"/>
      <c r="P462" s="2"/>
      <c r="Q462" s="2"/>
      <c r="R462" s="2"/>
    </row>
    <row r="463" spans="1:18" ht="12" customHeight="1">
      <c r="A463" s="1"/>
      <c r="B463" s="31" t="s">
        <v>399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2" customHeight="1">
      <c r="A464" s="540"/>
      <c r="B464" s="54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5.75" customHeight="1">
      <c r="A465" s="543"/>
      <c r="B465" s="541"/>
      <c r="C465" s="541"/>
      <c r="D465" s="541"/>
      <c r="E465" s="541"/>
      <c r="F465" s="541"/>
      <c r="G465" s="541"/>
      <c r="H465" s="541"/>
      <c r="I465" s="541"/>
      <c r="J465" s="542"/>
      <c r="K465" s="2"/>
      <c r="L465" s="2"/>
      <c r="M465" s="2"/>
      <c r="N465" s="2"/>
      <c r="O465" s="2"/>
      <c r="P465" s="2"/>
      <c r="Q465" s="2"/>
      <c r="R465" s="2"/>
    </row>
    <row r="466" spans="1:18" ht="12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3" t="s">
        <v>63</v>
      </c>
      <c r="K466" s="545" t="s">
        <v>400</v>
      </c>
      <c r="L466" s="542"/>
      <c r="M466" s="34" t="s">
        <v>401</v>
      </c>
      <c r="N466" s="34" t="s">
        <v>402</v>
      </c>
      <c r="O466" s="32"/>
      <c r="P466" s="32"/>
      <c r="Q466" s="32"/>
      <c r="R466" s="2"/>
    </row>
    <row r="467" spans="1:18" ht="12" customHeight="1">
      <c r="A467" s="546"/>
      <c r="B467" s="531"/>
      <c r="C467" s="548" t="s">
        <v>403</v>
      </c>
      <c r="D467" s="531"/>
      <c r="E467" s="529"/>
      <c r="F467" s="529"/>
      <c r="G467" s="529"/>
      <c r="H467" s="529"/>
      <c r="I467" s="529"/>
      <c r="J467" s="35" t="s">
        <v>404</v>
      </c>
      <c r="K467" s="527" t="s">
        <v>405</v>
      </c>
      <c r="L467" s="527" t="s">
        <v>406</v>
      </c>
      <c r="M467" s="527" t="s">
        <v>407</v>
      </c>
      <c r="N467" s="527" t="s">
        <v>408</v>
      </c>
      <c r="O467" s="529"/>
      <c r="P467" s="529"/>
      <c r="Q467" s="531"/>
      <c r="R467" s="2"/>
    </row>
    <row r="468" spans="1:18" ht="12" customHeight="1">
      <c r="A468" s="530"/>
      <c r="B468" s="532"/>
      <c r="C468" s="530"/>
      <c r="D468" s="532"/>
      <c r="E468" s="530"/>
      <c r="F468" s="530"/>
      <c r="G468" s="530"/>
      <c r="H468" s="530"/>
      <c r="I468" s="530"/>
      <c r="J468" s="35" t="s">
        <v>409</v>
      </c>
      <c r="K468" s="530"/>
      <c r="L468" s="530"/>
      <c r="M468" s="530"/>
      <c r="N468" s="530"/>
      <c r="O468" s="530"/>
      <c r="P468" s="530"/>
      <c r="Q468" s="532"/>
      <c r="R468" s="2"/>
    </row>
    <row r="469" spans="1:18" ht="9.75" customHeight="1">
      <c r="A469" s="530"/>
      <c r="B469" s="532"/>
      <c r="C469" s="530"/>
      <c r="D469" s="532"/>
      <c r="E469" s="530"/>
      <c r="F469" s="530"/>
      <c r="G469" s="530"/>
      <c r="H469" s="530"/>
      <c r="I469" s="530"/>
      <c r="J469" s="529"/>
      <c r="K469" s="528"/>
      <c r="L469" s="528"/>
      <c r="M469" s="528"/>
      <c r="N469" s="528"/>
      <c r="O469" s="530"/>
      <c r="P469" s="530"/>
      <c r="Q469" s="532"/>
      <c r="R469" s="2"/>
    </row>
    <row r="470" spans="1:18" ht="12" customHeight="1">
      <c r="A470" s="528"/>
      <c r="B470" s="533"/>
      <c r="C470" s="528"/>
      <c r="D470" s="533"/>
      <c r="E470" s="528"/>
      <c r="F470" s="528"/>
      <c r="G470" s="528"/>
      <c r="H470" s="528"/>
      <c r="I470" s="528"/>
      <c r="J470" s="528"/>
      <c r="K470" s="560" t="s">
        <v>410</v>
      </c>
      <c r="L470" s="541"/>
      <c r="M470" s="541"/>
      <c r="N470" s="542"/>
      <c r="O470" s="528"/>
      <c r="P470" s="528"/>
      <c r="Q470" s="533"/>
      <c r="R470" s="2"/>
    </row>
    <row r="471" spans="1:18" ht="12" customHeight="1">
      <c r="A471" s="546"/>
      <c r="B471" s="558"/>
      <c r="C471" s="559" t="s">
        <v>411</v>
      </c>
      <c r="D471" s="2"/>
      <c r="E471" s="546"/>
      <c r="F471" s="546"/>
      <c r="G471" s="546"/>
      <c r="H471" s="546"/>
      <c r="I471" s="546"/>
      <c r="J471" s="7" t="s">
        <v>412</v>
      </c>
      <c r="K471" s="557" t="s">
        <v>405</v>
      </c>
      <c r="L471" s="557" t="s">
        <v>413</v>
      </c>
      <c r="M471" s="557" t="s">
        <v>407</v>
      </c>
      <c r="N471" s="557" t="s">
        <v>408</v>
      </c>
      <c r="O471" s="546"/>
      <c r="P471" s="546"/>
      <c r="Q471" s="2"/>
      <c r="R471" s="2"/>
    </row>
    <row r="472" spans="1:18" ht="12" customHeight="1">
      <c r="A472" s="530"/>
      <c r="B472" s="532"/>
      <c r="C472" s="530"/>
      <c r="D472" s="2"/>
      <c r="E472" s="530"/>
      <c r="F472" s="530"/>
      <c r="G472" s="530"/>
      <c r="H472" s="530"/>
      <c r="I472" s="530"/>
      <c r="J472" s="7" t="s">
        <v>414</v>
      </c>
      <c r="K472" s="530"/>
      <c r="L472" s="530"/>
      <c r="M472" s="530"/>
      <c r="N472" s="530"/>
      <c r="O472" s="530"/>
      <c r="P472" s="530"/>
      <c r="Q472" s="2"/>
      <c r="R472" s="2"/>
    </row>
    <row r="473" spans="1:18" ht="9.75" customHeight="1">
      <c r="A473" s="530"/>
      <c r="B473" s="532"/>
      <c r="C473" s="530"/>
      <c r="D473" s="2"/>
      <c r="E473" s="530"/>
      <c r="F473" s="530"/>
      <c r="G473" s="530"/>
      <c r="H473" s="530"/>
      <c r="I473" s="530"/>
      <c r="J473" s="546"/>
      <c r="K473" s="528"/>
      <c r="L473" s="528"/>
      <c r="M473" s="528"/>
      <c r="N473" s="528"/>
      <c r="O473" s="530"/>
      <c r="P473" s="530"/>
      <c r="Q473" s="2"/>
      <c r="R473" s="2"/>
    </row>
    <row r="474" spans="1:18" ht="12" customHeight="1">
      <c r="A474" s="528"/>
      <c r="B474" s="533"/>
      <c r="C474" s="528"/>
      <c r="D474" s="2"/>
      <c r="E474" s="528"/>
      <c r="F474" s="528"/>
      <c r="G474" s="528"/>
      <c r="H474" s="528"/>
      <c r="I474" s="528"/>
      <c r="J474" s="528"/>
      <c r="K474" s="556" t="s">
        <v>410</v>
      </c>
      <c r="L474" s="541"/>
      <c r="M474" s="541"/>
      <c r="N474" s="542"/>
      <c r="O474" s="528"/>
      <c r="P474" s="528"/>
      <c r="Q474" s="2"/>
      <c r="R474" s="2"/>
    </row>
    <row r="475" spans="1:18" ht="12" customHeight="1">
      <c r="A475" s="546"/>
      <c r="B475" s="531"/>
      <c r="C475" s="548" t="s">
        <v>415</v>
      </c>
      <c r="D475" s="531"/>
      <c r="E475" s="529"/>
      <c r="F475" s="529"/>
      <c r="G475" s="529"/>
      <c r="H475" s="529"/>
      <c r="I475" s="529"/>
      <c r="J475" s="35" t="s">
        <v>416</v>
      </c>
      <c r="K475" s="527" t="s">
        <v>405</v>
      </c>
      <c r="L475" s="527" t="s">
        <v>417</v>
      </c>
      <c r="M475" s="527" t="s">
        <v>407</v>
      </c>
      <c r="N475" s="527" t="s">
        <v>408</v>
      </c>
      <c r="O475" s="529"/>
      <c r="P475" s="529"/>
      <c r="Q475" s="531"/>
      <c r="R475" s="2"/>
    </row>
    <row r="476" spans="1:18" ht="11.25" customHeight="1">
      <c r="A476" s="530"/>
      <c r="B476" s="532"/>
      <c r="C476" s="530"/>
      <c r="D476" s="532"/>
      <c r="E476" s="530"/>
      <c r="F476" s="530"/>
      <c r="G476" s="530"/>
      <c r="H476" s="530"/>
      <c r="I476" s="530"/>
      <c r="J476" s="527" t="s">
        <v>418</v>
      </c>
      <c r="K476" s="528"/>
      <c r="L476" s="528"/>
      <c r="M476" s="528"/>
      <c r="N476" s="528"/>
      <c r="O476" s="530"/>
      <c r="P476" s="530"/>
      <c r="Q476" s="532"/>
      <c r="R476" s="2"/>
    </row>
    <row r="477" spans="1:18" ht="0.75" customHeight="1">
      <c r="A477" s="530"/>
      <c r="B477" s="532"/>
      <c r="C477" s="530"/>
      <c r="D477" s="532"/>
      <c r="E477" s="530"/>
      <c r="F477" s="530"/>
      <c r="G477" s="530"/>
      <c r="H477" s="530"/>
      <c r="I477" s="530"/>
      <c r="J477" s="528"/>
      <c r="K477" s="534" t="s">
        <v>410</v>
      </c>
      <c r="L477" s="535"/>
      <c r="M477" s="535"/>
      <c r="N477" s="536"/>
      <c r="O477" s="530"/>
      <c r="P477" s="530"/>
      <c r="Q477" s="532"/>
      <c r="R477" s="2"/>
    </row>
    <row r="478" spans="1:18" ht="11.25" customHeight="1">
      <c r="A478" s="528"/>
      <c r="B478" s="533"/>
      <c r="C478" s="528"/>
      <c r="D478" s="533"/>
      <c r="E478" s="528"/>
      <c r="F478" s="528"/>
      <c r="G478" s="528"/>
      <c r="H478" s="528"/>
      <c r="I478" s="528"/>
      <c r="J478" s="36"/>
      <c r="K478" s="537"/>
      <c r="L478" s="538"/>
      <c r="M478" s="538"/>
      <c r="N478" s="539"/>
      <c r="O478" s="528"/>
      <c r="P478" s="528"/>
      <c r="Q478" s="533"/>
      <c r="R478" s="2"/>
    </row>
    <row r="479" spans="1:18" ht="12" customHeight="1">
      <c r="A479" s="540"/>
      <c r="B479" s="541"/>
      <c r="C479" s="541"/>
      <c r="D479" s="541"/>
      <c r="E479" s="541"/>
      <c r="F479" s="541"/>
      <c r="G479" s="541"/>
      <c r="H479" s="541"/>
      <c r="I479" s="541"/>
      <c r="J479" s="542"/>
      <c r="K479" s="2"/>
      <c r="L479" s="2"/>
      <c r="M479" s="2"/>
      <c r="N479" s="2"/>
      <c r="O479" s="2"/>
      <c r="P479" s="2"/>
      <c r="Q479" s="2"/>
      <c r="R479" s="2"/>
    </row>
    <row r="480" spans="1:18" ht="15.75" customHeight="1">
      <c r="A480" s="543"/>
      <c r="B480" s="541"/>
      <c r="C480" s="541"/>
      <c r="D480" s="541"/>
      <c r="E480" s="541"/>
      <c r="F480" s="541"/>
      <c r="G480" s="541"/>
      <c r="H480" s="541"/>
      <c r="I480" s="541"/>
      <c r="J480" s="542"/>
      <c r="K480" s="2"/>
      <c r="L480" s="2"/>
      <c r="M480" s="2"/>
      <c r="N480" s="2"/>
      <c r="O480" s="2"/>
      <c r="P480" s="2"/>
      <c r="Q480" s="2"/>
      <c r="R480" s="2"/>
    </row>
    <row r="481" spans="1:18" ht="12" customHeight="1">
      <c r="A481" s="544" t="s">
        <v>419</v>
      </c>
      <c r="B481" s="541"/>
      <c r="C481" s="541"/>
      <c r="D481" s="541"/>
      <c r="E481" s="541"/>
      <c r="F481" s="541"/>
      <c r="G481" s="541"/>
      <c r="H481" s="541"/>
      <c r="I481" s="541"/>
      <c r="J481" s="542"/>
      <c r="K481" s="2"/>
      <c r="L481" s="2"/>
      <c r="M481" s="2"/>
      <c r="N481" s="2"/>
      <c r="O481" s="2"/>
      <c r="P481" s="2"/>
      <c r="Q481" s="2"/>
      <c r="R481" s="2"/>
    </row>
    <row r="482" spans="1:18" ht="12" customHeight="1">
      <c r="A482" s="1"/>
      <c r="B482" s="31" t="s">
        <v>399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2" customHeight="1">
      <c r="A483" s="540"/>
      <c r="B483" s="54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5.75" customHeight="1">
      <c r="A484" s="543"/>
      <c r="B484" s="541"/>
      <c r="C484" s="541"/>
      <c r="D484" s="541"/>
      <c r="E484" s="541"/>
      <c r="F484" s="541"/>
      <c r="G484" s="541"/>
      <c r="H484" s="541"/>
      <c r="I484" s="541"/>
      <c r="J484" s="542"/>
      <c r="K484" s="2"/>
      <c r="L484" s="2"/>
      <c r="M484" s="2"/>
      <c r="N484" s="2"/>
      <c r="O484" s="2"/>
      <c r="P484" s="2"/>
      <c r="Q484" s="2"/>
      <c r="R484" s="2"/>
    </row>
    <row r="485" spans="1:18" ht="12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3" t="s">
        <v>63</v>
      </c>
      <c r="K485" s="545" t="s">
        <v>400</v>
      </c>
      <c r="L485" s="542"/>
      <c r="M485" s="34" t="s">
        <v>420</v>
      </c>
      <c r="N485" s="34" t="s">
        <v>402</v>
      </c>
      <c r="O485" s="32"/>
      <c r="P485" s="32"/>
      <c r="Q485" s="32"/>
      <c r="R485" s="2"/>
    </row>
    <row r="486" spans="1:18" ht="12" customHeight="1">
      <c r="A486" s="546"/>
      <c r="B486" s="531"/>
      <c r="C486" s="548" t="s">
        <v>403</v>
      </c>
      <c r="D486" s="531"/>
      <c r="E486" s="529"/>
      <c r="F486" s="529"/>
      <c r="G486" s="529"/>
      <c r="H486" s="529"/>
      <c r="I486" s="529"/>
      <c r="J486" s="35" t="s">
        <v>404</v>
      </c>
      <c r="K486" s="527" t="s">
        <v>405</v>
      </c>
      <c r="L486" s="527" t="s">
        <v>421</v>
      </c>
      <c r="M486" s="527" t="s">
        <v>422</v>
      </c>
      <c r="N486" s="527" t="s">
        <v>408</v>
      </c>
      <c r="O486" s="529"/>
      <c r="P486" s="529"/>
      <c r="Q486" s="531"/>
      <c r="R486" s="2"/>
    </row>
    <row r="487" spans="1:18" ht="11.25" customHeight="1">
      <c r="A487" s="530"/>
      <c r="B487" s="532"/>
      <c r="C487" s="530"/>
      <c r="D487" s="532"/>
      <c r="E487" s="530"/>
      <c r="F487" s="530"/>
      <c r="G487" s="530"/>
      <c r="H487" s="530"/>
      <c r="I487" s="530"/>
      <c r="J487" s="527" t="s">
        <v>409</v>
      </c>
      <c r="K487" s="528"/>
      <c r="L487" s="528"/>
      <c r="M487" s="528"/>
      <c r="N487" s="528"/>
      <c r="O487" s="530"/>
      <c r="P487" s="530"/>
      <c r="Q487" s="532"/>
      <c r="R487" s="2"/>
    </row>
    <row r="488" spans="1:18" ht="0.75" customHeight="1">
      <c r="A488" s="530"/>
      <c r="B488" s="532"/>
      <c r="C488" s="530"/>
      <c r="D488" s="532"/>
      <c r="E488" s="530"/>
      <c r="F488" s="530"/>
      <c r="G488" s="530"/>
      <c r="H488" s="530"/>
      <c r="I488" s="530"/>
      <c r="J488" s="528"/>
      <c r="K488" s="534" t="s">
        <v>410</v>
      </c>
      <c r="L488" s="535"/>
      <c r="M488" s="535"/>
      <c r="N488" s="536"/>
      <c r="O488" s="530"/>
      <c r="P488" s="530"/>
      <c r="Q488" s="532"/>
      <c r="R488" s="2"/>
    </row>
    <row r="489" spans="1:18" ht="11.25" customHeight="1">
      <c r="A489" s="528"/>
      <c r="B489" s="533"/>
      <c r="C489" s="528"/>
      <c r="D489" s="533"/>
      <c r="E489" s="528"/>
      <c r="F489" s="528"/>
      <c r="G489" s="528"/>
      <c r="H489" s="528"/>
      <c r="I489" s="528"/>
      <c r="J489" s="36"/>
      <c r="K489" s="537"/>
      <c r="L489" s="538"/>
      <c r="M489" s="538"/>
      <c r="N489" s="539"/>
      <c r="O489" s="528"/>
      <c r="P489" s="528"/>
      <c r="Q489" s="533"/>
      <c r="R489" s="2"/>
    </row>
    <row r="490" spans="1:18" ht="12" customHeight="1">
      <c r="A490" s="543"/>
      <c r="B490" s="541"/>
      <c r="C490" s="541"/>
      <c r="D490" s="541"/>
      <c r="E490" s="541"/>
      <c r="F490" s="541"/>
      <c r="G490" s="541"/>
      <c r="H490" s="541"/>
      <c r="I490" s="541"/>
      <c r="J490" s="542"/>
      <c r="K490" s="2"/>
      <c r="L490" s="2"/>
      <c r="M490" s="2"/>
      <c r="N490" s="2"/>
      <c r="O490" s="2"/>
      <c r="P490" s="2"/>
      <c r="Q490" s="2"/>
      <c r="R490" s="2"/>
    </row>
    <row r="491" spans="1:18" ht="15.75" customHeight="1">
      <c r="A491" s="549" t="s">
        <v>423</v>
      </c>
      <c r="B491" s="550"/>
      <c r="C491" s="550"/>
      <c r="D491" s="550"/>
      <c r="E491" s="550"/>
      <c r="F491" s="550"/>
      <c r="G491" s="550"/>
      <c r="H491" s="550"/>
      <c r="I491" s="550"/>
      <c r="J491" s="551"/>
      <c r="K491" s="2"/>
      <c r="L491" s="2"/>
      <c r="M491" s="2"/>
      <c r="N491" s="2"/>
      <c r="O491" s="2"/>
      <c r="P491" s="2"/>
      <c r="Q491" s="2"/>
      <c r="R491" s="2"/>
    </row>
    <row r="492" spans="1:18" ht="12" customHeight="1">
      <c r="A492" s="543"/>
      <c r="B492" s="541"/>
      <c r="C492" s="541"/>
      <c r="D492" s="541"/>
      <c r="E492" s="541"/>
      <c r="F492" s="541"/>
      <c r="G492" s="541"/>
      <c r="H492" s="541"/>
      <c r="I492" s="541"/>
      <c r="J492" s="542"/>
      <c r="K492" s="2"/>
      <c r="L492" s="2"/>
      <c r="M492" s="2"/>
      <c r="N492" s="2"/>
      <c r="O492" s="2"/>
      <c r="P492" s="2"/>
      <c r="Q492" s="2"/>
      <c r="R492" s="2"/>
    </row>
    <row r="493" spans="1:18" ht="12" customHeight="1">
      <c r="A493" s="552" t="s">
        <v>424</v>
      </c>
      <c r="B493" s="541"/>
      <c r="C493" s="541"/>
      <c r="D493" s="541"/>
      <c r="E493" s="541"/>
      <c r="F493" s="541"/>
      <c r="G493" s="541"/>
      <c r="H493" s="541"/>
      <c r="I493" s="541"/>
      <c r="J493" s="542"/>
      <c r="K493" s="2"/>
      <c r="L493" s="2"/>
      <c r="M493" s="2"/>
      <c r="N493" s="2"/>
      <c r="O493" s="2"/>
      <c r="P493" s="2"/>
      <c r="Q493" s="2"/>
      <c r="R493" s="2"/>
    </row>
    <row r="494" spans="1:18" ht="2.25" customHeight="1">
      <c r="A494" s="543"/>
      <c r="B494" s="541"/>
      <c r="C494" s="541"/>
      <c r="D494" s="541"/>
      <c r="E494" s="541"/>
      <c r="F494" s="541"/>
      <c r="G494" s="541"/>
      <c r="H494" s="541"/>
      <c r="I494" s="541"/>
      <c r="J494" s="542"/>
      <c r="K494" s="2"/>
      <c r="L494" s="2"/>
      <c r="M494" s="2"/>
      <c r="N494" s="2"/>
      <c r="O494" s="2"/>
      <c r="P494" s="2"/>
      <c r="Q494" s="2"/>
      <c r="R494" s="2"/>
    </row>
    <row r="495" spans="1:18" ht="23.25" customHeight="1">
      <c r="A495" s="4" t="s">
        <v>425</v>
      </c>
      <c r="B495" s="7" t="s">
        <v>426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2.25" customHeight="1">
      <c r="A496" s="543"/>
      <c r="B496" s="541"/>
      <c r="C496" s="541"/>
      <c r="D496" s="541"/>
      <c r="E496" s="541"/>
      <c r="F496" s="541"/>
      <c r="G496" s="541"/>
      <c r="H496" s="541"/>
      <c r="I496" s="541"/>
      <c r="J496" s="542"/>
      <c r="K496" s="2"/>
      <c r="L496" s="2"/>
      <c r="M496" s="2"/>
      <c r="N496" s="2"/>
      <c r="O496" s="2"/>
      <c r="P496" s="2"/>
      <c r="Q496" s="2"/>
      <c r="R496" s="2"/>
    </row>
    <row r="497" spans="1:18" ht="12" customHeight="1">
      <c r="A497" s="553" t="s">
        <v>427</v>
      </c>
      <c r="B497" s="541"/>
      <c r="C497" s="541"/>
      <c r="D497" s="541"/>
      <c r="E497" s="541"/>
      <c r="F497" s="541"/>
      <c r="G497" s="541"/>
      <c r="H497" s="541"/>
      <c r="I497" s="541"/>
      <c r="J497" s="542"/>
      <c r="K497" s="2"/>
      <c r="L497" s="2"/>
      <c r="M497" s="2"/>
      <c r="N497" s="2"/>
      <c r="O497" s="2"/>
      <c r="P497" s="2"/>
      <c r="Q497" s="2"/>
      <c r="R497" s="2"/>
    </row>
    <row r="498" spans="1:18" ht="12" customHeight="1">
      <c r="A498" s="543"/>
      <c r="B498" s="541"/>
      <c r="C498" s="541"/>
      <c r="D498" s="541"/>
      <c r="E498" s="541"/>
      <c r="F498" s="541"/>
      <c r="G498" s="541"/>
      <c r="H498" s="541"/>
      <c r="I498" s="541"/>
      <c r="J498" s="542"/>
      <c r="K498" s="2"/>
      <c r="L498" s="2"/>
      <c r="M498" s="2"/>
      <c r="N498" s="2"/>
      <c r="O498" s="2"/>
      <c r="P498" s="2"/>
      <c r="Q498" s="2"/>
      <c r="R498" s="2"/>
    </row>
    <row r="499" spans="1:18" ht="12" customHeight="1">
      <c r="A499" s="37"/>
      <c r="B499" s="2"/>
      <c r="C499" s="2"/>
      <c r="D499" s="2"/>
      <c r="E499" s="554"/>
      <c r="F499" s="542"/>
      <c r="G499" s="547" t="s">
        <v>428</v>
      </c>
      <c r="H499" s="542"/>
      <c r="I499" s="547" t="s">
        <v>402</v>
      </c>
      <c r="J499" s="542"/>
      <c r="K499" s="547" t="s">
        <v>429</v>
      </c>
      <c r="L499" s="542"/>
      <c r="M499" s="2"/>
      <c r="N499" s="2"/>
      <c r="O499" s="2"/>
      <c r="P499" s="2"/>
      <c r="Q499" s="2"/>
      <c r="R499" s="2"/>
    </row>
    <row r="500" spans="1:18" ht="34.5" customHeight="1">
      <c r="A500" s="38" t="s">
        <v>430</v>
      </c>
      <c r="B500" s="2"/>
      <c r="C500" s="2"/>
      <c r="D500" s="2"/>
      <c r="E500" s="39" t="s">
        <v>431</v>
      </c>
      <c r="F500" s="38" t="s">
        <v>432</v>
      </c>
      <c r="G500" s="39" t="s">
        <v>433</v>
      </c>
      <c r="H500" s="39" t="s">
        <v>434</v>
      </c>
      <c r="I500" s="39" t="s">
        <v>435</v>
      </c>
      <c r="J500" s="39" t="s">
        <v>436</v>
      </c>
      <c r="K500" s="39" t="s">
        <v>437</v>
      </c>
      <c r="L500" s="39" t="s">
        <v>438</v>
      </c>
      <c r="M500" s="2"/>
      <c r="N500" s="2"/>
      <c r="O500" s="2"/>
      <c r="P500" s="2"/>
      <c r="Q500" s="2"/>
      <c r="R500" s="2"/>
    </row>
    <row r="501" spans="1:18" ht="12" customHeight="1">
      <c r="A501" s="1"/>
      <c r="B501" s="2"/>
      <c r="C501" s="555" t="s">
        <v>439</v>
      </c>
      <c r="D501" s="542"/>
      <c r="E501" s="40" t="s">
        <v>440</v>
      </c>
      <c r="F501" s="40" t="s">
        <v>441</v>
      </c>
      <c r="G501" s="41" t="s">
        <v>442</v>
      </c>
      <c r="H501" s="41" t="s">
        <v>104</v>
      </c>
      <c r="I501" s="40" t="s">
        <v>408</v>
      </c>
      <c r="J501" s="42">
        <v>45777</v>
      </c>
      <c r="K501" s="41" t="s">
        <v>405</v>
      </c>
      <c r="L501" s="41" t="s">
        <v>405</v>
      </c>
      <c r="M501" s="2"/>
      <c r="N501" s="2"/>
      <c r="O501" s="2"/>
      <c r="P501" s="2"/>
      <c r="Q501" s="2"/>
      <c r="R501" s="2"/>
    </row>
    <row r="502" spans="1:18" ht="47.25" customHeight="1">
      <c r="A502" s="43" t="s">
        <v>0</v>
      </c>
      <c r="B502" s="2"/>
      <c r="C502" s="2"/>
      <c r="D502" s="2"/>
      <c r="E502" s="44" t="s">
        <v>440</v>
      </c>
      <c r="F502" s="44" t="s">
        <v>443</v>
      </c>
      <c r="G502" s="45"/>
      <c r="H502" s="45"/>
      <c r="I502" s="45"/>
      <c r="J502" s="45"/>
      <c r="K502" s="46">
        <v>15</v>
      </c>
      <c r="L502" s="46">
        <v>52</v>
      </c>
      <c r="M502" s="2"/>
      <c r="N502" s="2"/>
      <c r="O502" s="2"/>
      <c r="P502" s="2"/>
      <c r="Q502" s="2"/>
      <c r="R502" s="2"/>
    </row>
    <row r="503" spans="1:18" ht="12" customHeight="1">
      <c r="A503" s="540"/>
      <c r="B503" s="541"/>
      <c r="C503" s="541"/>
      <c r="D503" s="541"/>
      <c r="E503" s="541"/>
      <c r="F503" s="541"/>
      <c r="G503" s="541"/>
      <c r="H503" s="541"/>
      <c r="I503" s="541"/>
      <c r="J503" s="542"/>
      <c r="K503" s="2"/>
      <c r="L503" s="2"/>
      <c r="M503" s="2"/>
      <c r="N503" s="2"/>
      <c r="O503" s="2"/>
      <c r="P503" s="2"/>
      <c r="Q503" s="2"/>
      <c r="R503" s="2"/>
    </row>
    <row r="504" spans="1:18" ht="12" customHeight="1">
      <c r="A504" s="1"/>
      <c r="B504" s="31" t="s">
        <v>444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23.25" customHeight="1">
      <c r="A505" s="40" t="s">
        <v>445</v>
      </c>
      <c r="B505" s="31" t="s">
        <v>446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2" customHeight="1">
      <c r="A506" s="543"/>
      <c r="B506" s="541"/>
      <c r="C506" s="541"/>
      <c r="D506" s="541"/>
      <c r="E506" s="541"/>
      <c r="F506" s="541"/>
      <c r="G506" s="541"/>
      <c r="H506" s="541"/>
      <c r="I506" s="541"/>
      <c r="J506" s="542"/>
      <c r="K506" s="2"/>
      <c r="L506" s="2"/>
      <c r="M506" s="2"/>
      <c r="N506" s="2"/>
      <c r="O506" s="2"/>
      <c r="P506" s="2"/>
      <c r="Q506" s="2"/>
      <c r="R506" s="2"/>
    </row>
    <row r="507" spans="1:18" ht="15.75" customHeight="1">
      <c r="A507" s="549" t="s">
        <v>447</v>
      </c>
      <c r="B507" s="550"/>
      <c r="C507" s="550"/>
      <c r="D507" s="550"/>
      <c r="E507" s="550"/>
      <c r="F507" s="550"/>
      <c r="G507" s="550"/>
      <c r="H507" s="550"/>
      <c r="I507" s="550"/>
      <c r="J507" s="551"/>
      <c r="K507" s="2"/>
      <c r="L507" s="2"/>
      <c r="M507" s="2"/>
      <c r="N507" s="2"/>
      <c r="O507" s="2"/>
      <c r="P507" s="2"/>
      <c r="Q507" s="2"/>
      <c r="R507" s="2"/>
    </row>
    <row r="508" spans="1:18" ht="12" customHeight="1">
      <c r="A508" s="543"/>
      <c r="B508" s="541"/>
      <c r="C508" s="541"/>
      <c r="D508" s="541"/>
      <c r="E508" s="541"/>
      <c r="F508" s="541"/>
      <c r="G508" s="541"/>
      <c r="H508" s="541"/>
      <c r="I508" s="541"/>
      <c r="J508" s="542"/>
      <c r="K508" s="2"/>
      <c r="L508" s="2"/>
      <c r="M508" s="2"/>
      <c r="N508" s="2"/>
      <c r="O508" s="2"/>
      <c r="P508" s="2"/>
      <c r="Q508" s="2"/>
      <c r="R508" s="2"/>
    </row>
    <row r="509" spans="1:18" ht="0.75" customHeight="1">
      <c r="A509" s="543"/>
      <c r="B509" s="541"/>
      <c r="C509" s="541"/>
      <c r="D509" s="541"/>
      <c r="E509" s="541"/>
      <c r="F509" s="541"/>
      <c r="G509" s="541"/>
      <c r="H509" s="541"/>
      <c r="I509" s="541"/>
      <c r="J509" s="542"/>
      <c r="K509" s="2"/>
      <c r="L509" s="2"/>
      <c r="M509" s="2"/>
      <c r="N509" s="2"/>
      <c r="O509" s="2"/>
      <c r="P509" s="2"/>
      <c r="Q509" s="2"/>
      <c r="R509" s="2"/>
    </row>
    <row r="510" spans="1:18" ht="12" customHeight="1">
      <c r="A510" s="553" t="s">
        <v>448</v>
      </c>
      <c r="B510" s="541"/>
      <c r="C510" s="541"/>
      <c r="D510" s="541"/>
      <c r="E510" s="541"/>
      <c r="F510" s="541"/>
      <c r="G510" s="541"/>
      <c r="H510" s="541"/>
      <c r="I510" s="541"/>
      <c r="J510" s="542"/>
      <c r="K510" s="2"/>
      <c r="L510" s="2"/>
      <c r="M510" s="2"/>
      <c r="N510" s="2"/>
      <c r="O510" s="2"/>
      <c r="P510" s="2"/>
      <c r="Q510" s="2"/>
      <c r="R510" s="2"/>
    </row>
    <row r="511" spans="1:18" ht="0.75" customHeight="1">
      <c r="A511" s="543"/>
      <c r="B511" s="541"/>
      <c r="C511" s="541"/>
      <c r="D511" s="541"/>
      <c r="E511" s="541"/>
      <c r="F511" s="541"/>
      <c r="G511" s="541"/>
      <c r="H511" s="541"/>
      <c r="I511" s="541"/>
      <c r="J511" s="542"/>
      <c r="K511" s="2"/>
      <c r="L511" s="2"/>
      <c r="M511" s="2"/>
      <c r="N511" s="2"/>
      <c r="O511" s="2"/>
      <c r="P511" s="2"/>
      <c r="Q511" s="2"/>
      <c r="R511" s="2"/>
    </row>
    <row r="512" spans="1:18" ht="0.75" customHeight="1">
      <c r="A512" s="543"/>
      <c r="B512" s="541"/>
      <c r="C512" s="541"/>
      <c r="D512" s="541"/>
      <c r="E512" s="541"/>
      <c r="F512" s="541"/>
      <c r="G512" s="541"/>
      <c r="H512" s="541"/>
      <c r="I512" s="541"/>
      <c r="J512" s="542"/>
      <c r="K512" s="2"/>
      <c r="L512" s="2"/>
      <c r="M512" s="2"/>
      <c r="N512" s="2"/>
      <c r="O512" s="2"/>
      <c r="P512" s="2"/>
      <c r="Q512" s="2"/>
      <c r="R512" s="2"/>
    </row>
    <row r="513" spans="1:18" ht="12" customHeight="1">
      <c r="A513" s="553" t="s">
        <v>449</v>
      </c>
      <c r="B513" s="541"/>
      <c r="C513" s="541"/>
      <c r="D513" s="541"/>
      <c r="E513" s="541"/>
      <c r="F513" s="541"/>
      <c r="G513" s="541"/>
      <c r="H513" s="541"/>
      <c r="I513" s="541"/>
      <c r="J513" s="542"/>
      <c r="K513" s="2"/>
      <c r="L513" s="2"/>
      <c r="M513" s="2"/>
      <c r="N513" s="2"/>
      <c r="O513" s="2"/>
      <c r="P513" s="2"/>
      <c r="Q513" s="2"/>
      <c r="R513" s="2"/>
    </row>
    <row r="514" spans="1:18" ht="16.5" customHeight="1">
      <c r="A514" s="37"/>
      <c r="B514" s="37"/>
      <c r="C514" s="37"/>
      <c r="D514" s="547" t="s">
        <v>428</v>
      </c>
      <c r="E514" s="542"/>
      <c r="F514" s="37"/>
      <c r="G514" s="37"/>
      <c r="H514" s="547" t="s">
        <v>402</v>
      </c>
      <c r="I514" s="542"/>
      <c r="J514" s="37"/>
      <c r="K514" s="547" t="s">
        <v>429</v>
      </c>
      <c r="L514" s="542"/>
      <c r="M514" s="37"/>
      <c r="N514" s="2"/>
      <c r="O514" s="2"/>
      <c r="P514" s="2"/>
      <c r="Q514" s="2"/>
      <c r="R514" s="2"/>
    </row>
    <row r="515" spans="1:18" ht="34.5" customHeight="1">
      <c r="A515" s="37"/>
      <c r="B515" s="47" t="s">
        <v>450</v>
      </c>
      <c r="C515" s="39" t="s">
        <v>431</v>
      </c>
      <c r="D515" s="48" t="s">
        <v>433</v>
      </c>
      <c r="E515" s="48" t="s">
        <v>434</v>
      </c>
      <c r="F515" s="49" t="s">
        <v>451</v>
      </c>
      <c r="G515" s="39" t="s">
        <v>452</v>
      </c>
      <c r="H515" s="39" t="s">
        <v>435</v>
      </c>
      <c r="I515" s="39" t="s">
        <v>436</v>
      </c>
      <c r="J515" s="39" t="s">
        <v>453</v>
      </c>
      <c r="K515" s="39" t="s">
        <v>437</v>
      </c>
      <c r="L515" s="39" t="s">
        <v>438</v>
      </c>
      <c r="M515" s="37"/>
      <c r="N515" s="2"/>
      <c r="O515" s="2"/>
      <c r="P515" s="2"/>
      <c r="Q515" s="2"/>
      <c r="R515" s="2"/>
    </row>
    <row r="516" spans="1:18" ht="12" customHeight="1">
      <c r="A516" s="7" t="s">
        <v>403</v>
      </c>
      <c r="B516" s="50" t="s">
        <v>454</v>
      </c>
      <c r="C516" s="40" t="s">
        <v>455</v>
      </c>
      <c r="D516" s="41" t="s">
        <v>456</v>
      </c>
      <c r="E516" s="41" t="s">
        <v>456</v>
      </c>
      <c r="F516" s="51">
        <v>1</v>
      </c>
      <c r="G516" s="40" t="s">
        <v>405</v>
      </c>
      <c r="H516" s="40" t="s">
        <v>408</v>
      </c>
      <c r="I516" s="42">
        <v>44651</v>
      </c>
      <c r="J516" s="52" t="s">
        <v>457</v>
      </c>
      <c r="K516" s="41" t="s">
        <v>104</v>
      </c>
      <c r="L516" s="53">
        <v>1</v>
      </c>
      <c r="M516" s="2"/>
      <c r="N516" s="2"/>
      <c r="O516" s="2"/>
      <c r="P516" s="2"/>
      <c r="Q516" s="2"/>
      <c r="R516" s="2"/>
    </row>
    <row r="517" spans="1:18" ht="12" customHeight="1">
      <c r="A517" s="35" t="s">
        <v>411</v>
      </c>
      <c r="B517" s="54" t="s">
        <v>458</v>
      </c>
      <c r="C517" s="55" t="s">
        <v>459</v>
      </c>
      <c r="D517" s="56" t="s">
        <v>456</v>
      </c>
      <c r="E517" s="56" t="s">
        <v>456</v>
      </c>
      <c r="F517" s="57">
        <v>1</v>
      </c>
      <c r="G517" s="55" t="s">
        <v>405</v>
      </c>
      <c r="H517" s="55" t="s">
        <v>460</v>
      </c>
      <c r="I517" s="58">
        <v>45930</v>
      </c>
      <c r="J517" s="59" t="s">
        <v>457</v>
      </c>
      <c r="K517" s="60" t="s">
        <v>104</v>
      </c>
      <c r="L517" s="60" t="s">
        <v>104</v>
      </c>
      <c r="M517" s="2"/>
      <c r="N517" s="2"/>
      <c r="O517" s="2"/>
      <c r="P517" s="2"/>
      <c r="Q517" s="2"/>
      <c r="R517" s="2"/>
    </row>
    <row r="518" spans="1:18" ht="12" customHeight="1">
      <c r="A518" s="540"/>
      <c r="B518" s="541"/>
      <c r="C518" s="541"/>
      <c r="D518" s="541"/>
      <c r="E518" s="541"/>
      <c r="F518" s="541"/>
      <c r="G518" s="541"/>
      <c r="H518" s="541"/>
      <c r="I518" s="541"/>
      <c r="J518" s="542"/>
      <c r="K518" s="2"/>
      <c r="L518" s="2"/>
      <c r="M518" s="2"/>
      <c r="N518" s="2"/>
      <c r="O518" s="2"/>
      <c r="P518" s="2"/>
      <c r="Q518" s="2"/>
      <c r="R518" s="2"/>
    </row>
    <row r="519" spans="1:18" ht="23.25" customHeight="1">
      <c r="A519" s="40" t="s">
        <v>445</v>
      </c>
      <c r="B519" s="31" t="s">
        <v>446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2" customHeight="1">
      <c r="A520" s="543"/>
      <c r="B520" s="541"/>
      <c r="C520" s="541"/>
      <c r="D520" s="541"/>
      <c r="E520" s="541"/>
      <c r="F520" s="541"/>
      <c r="G520" s="541"/>
      <c r="H520" s="541"/>
      <c r="I520" s="541"/>
      <c r="J520" s="542"/>
      <c r="K520" s="2"/>
      <c r="L520" s="2"/>
      <c r="M520" s="2"/>
      <c r="N520" s="2"/>
      <c r="O520" s="2"/>
      <c r="P520" s="2"/>
      <c r="Q520" s="2"/>
      <c r="R520" s="2"/>
    </row>
    <row r="521" spans="1:18" ht="15.75" customHeight="1">
      <c r="A521" s="549" t="s">
        <v>461</v>
      </c>
      <c r="B521" s="550"/>
      <c r="C521" s="550"/>
      <c r="D521" s="550"/>
      <c r="E521" s="550"/>
      <c r="F521" s="550"/>
      <c r="G521" s="550"/>
      <c r="H521" s="550"/>
      <c r="I521" s="550"/>
      <c r="J521" s="551"/>
      <c r="K521" s="2"/>
      <c r="L521" s="2"/>
      <c r="M521" s="2"/>
      <c r="N521" s="2"/>
      <c r="O521" s="2"/>
      <c r="P521" s="2"/>
      <c r="Q521" s="2"/>
      <c r="R521" s="2"/>
    </row>
    <row r="522" spans="1:18" ht="12" customHeight="1">
      <c r="A522" s="543"/>
      <c r="B522" s="541"/>
      <c r="C522" s="541"/>
      <c r="D522" s="541"/>
      <c r="E522" s="541"/>
      <c r="F522" s="541"/>
      <c r="G522" s="541"/>
      <c r="H522" s="541"/>
      <c r="I522" s="541"/>
      <c r="J522" s="542"/>
      <c r="K522" s="2"/>
      <c r="L522" s="2"/>
      <c r="M522" s="2"/>
      <c r="N522" s="2"/>
      <c r="O522" s="2"/>
      <c r="P522" s="2"/>
      <c r="Q522" s="2"/>
      <c r="R522" s="2"/>
    </row>
    <row r="523" spans="1:18" ht="12" customHeight="1">
      <c r="A523" s="543"/>
      <c r="B523" s="541"/>
      <c r="C523" s="541"/>
      <c r="D523" s="54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2" customHeight="1">
      <c r="A524" s="553" t="s">
        <v>462</v>
      </c>
      <c r="B524" s="541"/>
      <c r="C524" s="541"/>
      <c r="D524" s="54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2" customHeight="1">
      <c r="A525" s="543"/>
      <c r="B525" s="541"/>
      <c r="C525" s="541"/>
      <c r="D525" s="54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mergeCells count="192">
    <mergeCell ref="B1:D1"/>
    <mergeCell ref="A3:C3"/>
    <mergeCell ref="B6:C6"/>
    <mergeCell ref="A7:C7"/>
    <mergeCell ref="A8:C8"/>
    <mergeCell ref="A9:J9"/>
    <mergeCell ref="A10:J10"/>
    <mergeCell ref="A11:J11"/>
    <mergeCell ref="A12:C12"/>
    <mergeCell ref="A13:C13"/>
    <mergeCell ref="B16:C16"/>
    <mergeCell ref="A17:C17"/>
    <mergeCell ref="A18:C18"/>
    <mergeCell ref="B20:C21"/>
    <mergeCell ref="A22:C22"/>
    <mergeCell ref="A23:J23"/>
    <mergeCell ref="A24:J24"/>
    <mergeCell ref="A25:J25"/>
    <mergeCell ref="A26:B26"/>
    <mergeCell ref="A27:B27"/>
    <mergeCell ref="A29:B29"/>
    <mergeCell ref="A30:D30"/>
    <mergeCell ref="C31:C32"/>
    <mergeCell ref="D31:D32"/>
    <mergeCell ref="A32:A33"/>
    <mergeCell ref="B32:B33"/>
    <mergeCell ref="A35:B35"/>
    <mergeCell ref="A36:K36"/>
    <mergeCell ref="A37:J37"/>
    <mergeCell ref="A38:J38"/>
    <mergeCell ref="A39:J39"/>
    <mergeCell ref="A40:D40"/>
    <mergeCell ref="D41:D42"/>
    <mergeCell ref="A42:A43"/>
    <mergeCell ref="B42:B43"/>
    <mergeCell ref="C41:C42"/>
    <mergeCell ref="C43:C45"/>
    <mergeCell ref="D43:D45"/>
    <mergeCell ref="A45:A46"/>
    <mergeCell ref="B45:B46"/>
    <mergeCell ref="C46:C48"/>
    <mergeCell ref="D46:D48"/>
    <mergeCell ref="A48:B49"/>
    <mergeCell ref="A50:D50"/>
    <mergeCell ref="B51:D51"/>
    <mergeCell ref="A52:D52"/>
    <mergeCell ref="A53:J53"/>
    <mergeCell ref="A54:J54"/>
    <mergeCell ref="A55:J55"/>
    <mergeCell ref="J469:J470"/>
    <mergeCell ref="K470:N470"/>
    <mergeCell ref="G467:G470"/>
    <mergeCell ref="H467:H470"/>
    <mergeCell ref="I467:I470"/>
    <mergeCell ref="K467:K469"/>
    <mergeCell ref="L467:L469"/>
    <mergeCell ref="M467:M469"/>
    <mergeCell ref="N467:N469"/>
    <mergeCell ref="B63:D63"/>
    <mergeCell ref="A64:D64"/>
    <mergeCell ref="A65:J65"/>
    <mergeCell ref="A66:J66"/>
    <mergeCell ref="A67:J67"/>
    <mergeCell ref="A68:B68"/>
    <mergeCell ref="A56:D56"/>
    <mergeCell ref="B57:D57"/>
    <mergeCell ref="A58:D58"/>
    <mergeCell ref="B59:D59"/>
    <mergeCell ref="A60:D60"/>
    <mergeCell ref="B61:D61"/>
    <mergeCell ref="A62:D62"/>
    <mergeCell ref="A72:B72"/>
    <mergeCell ref="A74:B74"/>
    <mergeCell ref="A98:B98"/>
    <mergeCell ref="A291:B291"/>
    <mergeCell ref="A386:B386"/>
    <mergeCell ref="A447:J447"/>
    <mergeCell ref="A448:J448"/>
    <mergeCell ref="A449:J449"/>
    <mergeCell ref="A450:D450"/>
    <mergeCell ref="A451:D451"/>
    <mergeCell ref="A452:D452"/>
    <mergeCell ref="A454:B454"/>
    <mergeCell ref="A456:D456"/>
    <mergeCell ref="A457:D457"/>
    <mergeCell ref="A458:D458"/>
    <mergeCell ref="A459:J459"/>
    <mergeCell ref="A460:J460"/>
    <mergeCell ref="A461:J461"/>
    <mergeCell ref="A462:J462"/>
    <mergeCell ref="A465:J465"/>
    <mergeCell ref="K466:L466"/>
    <mergeCell ref="O467:O470"/>
    <mergeCell ref="P467:P470"/>
    <mergeCell ref="Q467:Q470"/>
    <mergeCell ref="A464:B464"/>
    <mergeCell ref="A467:A470"/>
    <mergeCell ref="B467:B470"/>
    <mergeCell ref="C467:C470"/>
    <mergeCell ref="D467:D470"/>
    <mergeCell ref="E467:E470"/>
    <mergeCell ref="F467:F470"/>
    <mergeCell ref="J473:J474"/>
    <mergeCell ref="K474:N474"/>
    <mergeCell ref="I471:I474"/>
    <mergeCell ref="K471:K473"/>
    <mergeCell ref="L471:L473"/>
    <mergeCell ref="M471:M473"/>
    <mergeCell ref="N471:N473"/>
    <mergeCell ref="O471:O474"/>
    <mergeCell ref="P471:P474"/>
    <mergeCell ref="A471:A474"/>
    <mergeCell ref="B471:B474"/>
    <mergeCell ref="C471:C474"/>
    <mergeCell ref="E471:E474"/>
    <mergeCell ref="F471:F474"/>
    <mergeCell ref="G471:G474"/>
    <mergeCell ref="H471:H474"/>
    <mergeCell ref="P475:P478"/>
    <mergeCell ref="Q475:Q478"/>
    <mergeCell ref="J476:J477"/>
    <mergeCell ref="K477:N478"/>
    <mergeCell ref="H475:H478"/>
    <mergeCell ref="I475:I478"/>
    <mergeCell ref="K475:K476"/>
    <mergeCell ref="L475:L476"/>
    <mergeCell ref="M475:M476"/>
    <mergeCell ref="N475:N476"/>
    <mergeCell ref="O475:O478"/>
    <mergeCell ref="I499:J499"/>
    <mergeCell ref="K499:L499"/>
    <mergeCell ref="C501:D501"/>
    <mergeCell ref="A503:J503"/>
    <mergeCell ref="A506:J506"/>
    <mergeCell ref="A507:J507"/>
    <mergeCell ref="A508:J508"/>
    <mergeCell ref="A475:A478"/>
    <mergeCell ref="B475:B478"/>
    <mergeCell ref="C475:C478"/>
    <mergeCell ref="D475:D478"/>
    <mergeCell ref="E475:E478"/>
    <mergeCell ref="F475:F478"/>
    <mergeCell ref="G475:G478"/>
    <mergeCell ref="A497:J497"/>
    <mergeCell ref="A498:J498"/>
    <mergeCell ref="A521:J521"/>
    <mergeCell ref="A522:J522"/>
    <mergeCell ref="A523:D523"/>
    <mergeCell ref="A524:D524"/>
    <mergeCell ref="A525:D525"/>
    <mergeCell ref="A512:J512"/>
    <mergeCell ref="A513:J513"/>
    <mergeCell ref="D514:E514"/>
    <mergeCell ref="H514:I514"/>
    <mergeCell ref="K514:L514"/>
    <mergeCell ref="A518:J518"/>
    <mergeCell ref="A520:J520"/>
    <mergeCell ref="B486:B489"/>
    <mergeCell ref="C486:C489"/>
    <mergeCell ref="D486:D489"/>
    <mergeCell ref="E486:E489"/>
    <mergeCell ref="F486:F489"/>
    <mergeCell ref="G486:G489"/>
    <mergeCell ref="H486:H489"/>
    <mergeCell ref="I486:I489"/>
    <mergeCell ref="K486:K487"/>
    <mergeCell ref="L486:L487"/>
    <mergeCell ref="A490:J490"/>
    <mergeCell ref="A491:J491"/>
    <mergeCell ref="A492:J492"/>
    <mergeCell ref="A493:J493"/>
    <mergeCell ref="A494:J494"/>
    <mergeCell ref="A496:J496"/>
    <mergeCell ref="A509:J509"/>
    <mergeCell ref="A510:J510"/>
    <mergeCell ref="A511:J511"/>
    <mergeCell ref="E499:F499"/>
    <mergeCell ref="G499:H499"/>
    <mergeCell ref="M486:M487"/>
    <mergeCell ref="N486:N487"/>
    <mergeCell ref="O486:O489"/>
    <mergeCell ref="P486:P489"/>
    <mergeCell ref="Q486:Q489"/>
    <mergeCell ref="K488:N489"/>
    <mergeCell ref="A479:J479"/>
    <mergeCell ref="A480:J480"/>
    <mergeCell ref="A481:J481"/>
    <mergeCell ref="A483:B483"/>
    <mergeCell ref="A484:J484"/>
    <mergeCell ref="K485:L485"/>
    <mergeCell ref="A486:A489"/>
    <mergeCell ref="J487:J48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91"/>
  <sheetViews>
    <sheetView workbookViewId="0"/>
  </sheetViews>
  <sheetFormatPr defaultColWidth="12.5546875" defaultRowHeight="15" customHeight="1"/>
  <cols>
    <col min="1" max="1" width="33.44140625" customWidth="1"/>
    <col min="2" max="2" width="11.109375" hidden="1" customWidth="1"/>
    <col min="3" max="6" width="11.109375" customWidth="1"/>
    <col min="7" max="7" width="4.5546875" customWidth="1"/>
    <col min="8" max="8" width="11.109375" customWidth="1"/>
    <col min="9" max="9" width="38.77734375" customWidth="1"/>
    <col min="10" max="10" width="14.5546875" hidden="1" customWidth="1"/>
    <col min="11" max="24" width="11.109375" customWidth="1"/>
  </cols>
  <sheetData>
    <row r="1" spans="1:8">
      <c r="A1" s="61" t="s">
        <v>97</v>
      </c>
      <c r="B1" s="2"/>
      <c r="C1" s="2"/>
      <c r="D1" s="2"/>
      <c r="E1" s="2"/>
    </row>
    <row r="2" spans="1:8">
      <c r="A2" s="2"/>
      <c r="B2" s="2"/>
      <c r="C2" s="2"/>
      <c r="D2" s="2"/>
      <c r="E2" s="2"/>
      <c r="F2" s="2"/>
    </row>
    <row r="3" spans="1:8">
      <c r="A3" s="14" t="s">
        <v>32</v>
      </c>
      <c r="B3" s="15" t="s">
        <v>75</v>
      </c>
      <c r="C3" s="15" t="s">
        <v>74</v>
      </c>
      <c r="D3" s="15" t="s">
        <v>73</v>
      </c>
      <c r="E3" s="15" t="s">
        <v>72</v>
      </c>
      <c r="F3" s="15" t="s">
        <v>71</v>
      </c>
    </row>
    <row r="4" spans="1:8">
      <c r="A4" s="17"/>
      <c r="B4" s="18" t="s">
        <v>80</v>
      </c>
      <c r="C4" s="18" t="s">
        <v>80</v>
      </c>
      <c r="D4" s="18" t="s">
        <v>80</v>
      </c>
      <c r="E4" s="18" t="s">
        <v>80</v>
      </c>
      <c r="F4" s="18" t="s">
        <v>80</v>
      </c>
    </row>
    <row r="5" spans="1:8">
      <c r="A5" s="24" t="s">
        <v>98</v>
      </c>
      <c r="B5" s="25"/>
      <c r="C5" s="25"/>
      <c r="D5" s="25"/>
      <c r="E5" s="25"/>
      <c r="F5" s="25"/>
    </row>
    <row r="6" spans="1:8">
      <c r="A6" s="19" t="s">
        <v>99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</row>
    <row r="7" spans="1:8">
      <c r="A7" s="19" t="s">
        <v>100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</row>
    <row r="8" spans="1:8">
      <c r="A8" s="17"/>
      <c r="B8" s="17"/>
      <c r="C8" s="17"/>
      <c r="D8" s="17"/>
      <c r="E8" s="17"/>
      <c r="F8" s="17"/>
    </row>
    <row r="9" spans="1:8">
      <c r="A9" s="19" t="s">
        <v>101</v>
      </c>
      <c r="B9" s="20">
        <v>577699</v>
      </c>
      <c r="C9" s="20">
        <v>563008</v>
      </c>
      <c r="D9" s="20">
        <v>836581</v>
      </c>
      <c r="E9" s="20">
        <v>1533059</v>
      </c>
      <c r="F9" s="20">
        <v>1597153</v>
      </c>
      <c r="H9" s="62"/>
    </row>
    <row r="10" spans="1:8">
      <c r="A10" s="19" t="s">
        <v>102</v>
      </c>
      <c r="B10" s="20">
        <v>412309</v>
      </c>
      <c r="C10" s="20">
        <v>348629</v>
      </c>
      <c r="D10" s="20">
        <v>494303</v>
      </c>
      <c r="E10" s="20">
        <v>1141024</v>
      </c>
      <c r="F10" s="20">
        <v>947984</v>
      </c>
      <c r="H10" s="62"/>
    </row>
    <row r="11" spans="1:8">
      <c r="A11" s="19" t="s">
        <v>103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</row>
    <row r="12" spans="1:8">
      <c r="A12" s="19" t="s">
        <v>105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</row>
    <row r="13" spans="1:8">
      <c r="A13" s="19" t="s">
        <v>106</v>
      </c>
      <c r="B13" s="20">
        <v>2500</v>
      </c>
      <c r="C13" s="20">
        <v>7776</v>
      </c>
      <c r="D13" s="20">
        <v>0</v>
      </c>
      <c r="E13" s="20">
        <v>502430</v>
      </c>
      <c r="F13" s="20">
        <v>378595</v>
      </c>
    </row>
    <row r="14" spans="1:8">
      <c r="A14" s="19" t="s">
        <v>107</v>
      </c>
      <c r="B14" s="20">
        <v>22091</v>
      </c>
      <c r="C14" s="20">
        <v>24644</v>
      </c>
      <c r="D14" s="20">
        <v>23054</v>
      </c>
      <c r="E14" s="20">
        <v>30220</v>
      </c>
      <c r="F14" s="20">
        <v>31737</v>
      </c>
    </row>
    <row r="15" spans="1:8">
      <c r="A15" s="19" t="s">
        <v>108</v>
      </c>
      <c r="B15" s="20">
        <v>2059</v>
      </c>
      <c r="C15" s="20">
        <v>1625</v>
      </c>
      <c r="D15" s="20">
        <v>1190</v>
      </c>
      <c r="E15" s="20">
        <v>755</v>
      </c>
      <c r="F15" s="20">
        <v>320</v>
      </c>
    </row>
    <row r="16" spans="1:8">
      <c r="A16" s="19" t="s">
        <v>109</v>
      </c>
      <c r="B16" s="20">
        <v>2059</v>
      </c>
      <c r="C16" s="20">
        <v>1625</v>
      </c>
      <c r="D16" s="20">
        <v>1190</v>
      </c>
      <c r="E16" s="20">
        <v>755</v>
      </c>
      <c r="F16" s="20">
        <v>320</v>
      </c>
    </row>
    <row r="17" spans="1:8">
      <c r="A17" s="19" t="s">
        <v>110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</row>
    <row r="18" spans="1:8">
      <c r="A18" s="19" t="s">
        <v>111</v>
      </c>
      <c r="B18" s="20">
        <v>385659</v>
      </c>
      <c r="C18" s="20">
        <v>314584</v>
      </c>
      <c r="D18" s="20">
        <v>470059</v>
      </c>
      <c r="E18" s="20">
        <v>607619</v>
      </c>
      <c r="F18" s="20">
        <v>537332</v>
      </c>
    </row>
    <row r="19" spans="1:8">
      <c r="A19" s="19" t="s">
        <v>112</v>
      </c>
      <c r="B19" s="18" t="s">
        <v>104</v>
      </c>
      <c r="C19" s="18" t="s">
        <v>104</v>
      </c>
      <c r="D19" s="18" t="s">
        <v>104</v>
      </c>
      <c r="E19" s="18" t="s">
        <v>104</v>
      </c>
      <c r="F19" s="18" t="s">
        <v>104</v>
      </c>
    </row>
    <row r="20" spans="1:8">
      <c r="A20" s="17"/>
      <c r="B20" s="17"/>
      <c r="C20" s="17"/>
      <c r="D20" s="17"/>
      <c r="E20" s="17"/>
      <c r="F20" s="17"/>
    </row>
    <row r="21" spans="1:8">
      <c r="A21" s="19" t="s">
        <v>113</v>
      </c>
      <c r="B21" s="20">
        <v>115120</v>
      </c>
      <c r="C21" s="20">
        <v>164109</v>
      </c>
      <c r="D21" s="20">
        <v>292008</v>
      </c>
      <c r="E21" s="20">
        <v>341765</v>
      </c>
      <c r="F21" s="20">
        <v>598899</v>
      </c>
      <c r="H21" s="62"/>
    </row>
    <row r="22" spans="1:8">
      <c r="A22" s="19" t="s">
        <v>114</v>
      </c>
      <c r="B22" s="18" t="s">
        <v>104</v>
      </c>
      <c r="C22" s="18" t="s">
        <v>104</v>
      </c>
      <c r="D22" s="18" t="s">
        <v>104</v>
      </c>
      <c r="E22" s="18" t="s">
        <v>104</v>
      </c>
      <c r="F22" s="18" t="s">
        <v>104</v>
      </c>
    </row>
    <row r="23" spans="1:8">
      <c r="A23" s="19" t="s">
        <v>115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</row>
    <row r="24" spans="1:8">
      <c r="A24" s="19" t="s">
        <v>116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</row>
    <row r="25" spans="1:8">
      <c r="A25" s="19" t="s">
        <v>117</v>
      </c>
      <c r="B25" s="20">
        <v>97013</v>
      </c>
      <c r="C25" s="20">
        <v>103437</v>
      </c>
      <c r="D25" s="20">
        <v>271989</v>
      </c>
      <c r="E25" s="20">
        <v>315454</v>
      </c>
      <c r="F25" s="20">
        <v>473049</v>
      </c>
    </row>
    <row r="26" spans="1:8">
      <c r="A26" s="19" t="s">
        <v>118</v>
      </c>
      <c r="B26" s="20">
        <v>18107</v>
      </c>
      <c r="C26" s="20">
        <v>60672</v>
      </c>
      <c r="D26" s="20">
        <v>20019</v>
      </c>
      <c r="E26" s="20">
        <v>26311</v>
      </c>
      <c r="F26" s="20">
        <v>125850</v>
      </c>
    </row>
    <row r="27" spans="1:8">
      <c r="A27" s="19" t="s">
        <v>119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</row>
    <row r="28" spans="1:8">
      <c r="A28" s="19" t="s">
        <v>120</v>
      </c>
      <c r="B28" s="18" t="s">
        <v>104</v>
      </c>
      <c r="C28" s="18" t="s">
        <v>104</v>
      </c>
      <c r="D28" s="18" t="s">
        <v>104</v>
      </c>
      <c r="E28" s="18" t="s">
        <v>104</v>
      </c>
      <c r="F28" s="18" t="s">
        <v>104</v>
      </c>
    </row>
    <row r="29" spans="1:8">
      <c r="A29" s="17"/>
      <c r="B29" s="17"/>
      <c r="C29" s="17"/>
      <c r="D29" s="17"/>
      <c r="E29" s="17"/>
      <c r="F29" s="17"/>
    </row>
    <row r="30" spans="1:8">
      <c r="A30" s="19" t="s">
        <v>121</v>
      </c>
      <c r="B30" s="20">
        <v>50270</v>
      </c>
      <c r="C30" s="20">
        <v>50270</v>
      </c>
      <c r="D30" s="20">
        <v>50270</v>
      </c>
      <c r="E30" s="20">
        <v>50270</v>
      </c>
      <c r="F30" s="20">
        <v>50270</v>
      </c>
      <c r="H30" s="62"/>
    </row>
    <row r="31" spans="1:8">
      <c r="A31" s="19" t="s">
        <v>122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</row>
    <row r="32" spans="1:8">
      <c r="A32" s="19" t="s">
        <v>123</v>
      </c>
      <c r="B32" s="20">
        <v>50270</v>
      </c>
      <c r="C32" s="20">
        <v>50270</v>
      </c>
      <c r="D32" s="20">
        <v>50270</v>
      </c>
      <c r="E32" s="20">
        <v>50270</v>
      </c>
      <c r="F32" s="20">
        <v>50270</v>
      </c>
    </row>
    <row r="33" spans="1:17">
      <c r="A33" s="19" t="s">
        <v>124</v>
      </c>
      <c r="B33" s="20">
        <v>50000</v>
      </c>
      <c r="C33" s="20">
        <v>50000</v>
      </c>
      <c r="D33" s="20">
        <v>50000</v>
      </c>
      <c r="E33" s="20">
        <v>50000</v>
      </c>
      <c r="F33" s="20">
        <v>50000</v>
      </c>
    </row>
    <row r="34" spans="1:17">
      <c r="A34" s="19" t="s">
        <v>125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</row>
    <row r="35" spans="1:17">
      <c r="A35" s="19" t="s">
        <v>126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</row>
    <row r="36" spans="1:17">
      <c r="A36" s="19" t="s">
        <v>127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</row>
    <row r="37" spans="1:17">
      <c r="A37" s="19" t="s">
        <v>128</v>
      </c>
      <c r="B37" s="20">
        <v>270</v>
      </c>
      <c r="C37" s="20">
        <v>270</v>
      </c>
      <c r="D37" s="20">
        <v>270</v>
      </c>
      <c r="E37" s="20">
        <v>270</v>
      </c>
      <c r="F37" s="20">
        <v>270</v>
      </c>
    </row>
    <row r="38" spans="1:17">
      <c r="A38" s="19" t="s">
        <v>129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</row>
    <row r="39" spans="1:17">
      <c r="A39" s="19" t="s">
        <v>130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</row>
    <row r="40" spans="1:17">
      <c r="A40" s="19" t="s">
        <v>131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</row>
    <row r="41" spans="1:17">
      <c r="A41" s="19" t="s">
        <v>132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Q41" s="63"/>
    </row>
    <row r="42" spans="1:17">
      <c r="A42" s="19" t="s">
        <v>133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</row>
    <row r="43" spans="1:17">
      <c r="A43" s="19" t="s">
        <v>134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</row>
    <row r="44" spans="1:17">
      <c r="A44" s="19" t="s">
        <v>135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</row>
    <row r="45" spans="1:17">
      <c r="A45" s="19" t="s">
        <v>136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</row>
    <row r="46" spans="1:17">
      <c r="A46" s="19" t="s">
        <v>137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</row>
    <row r="47" spans="1:17">
      <c r="A47" s="19" t="s">
        <v>138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</row>
    <row r="48" spans="1:17">
      <c r="A48" s="19" t="s">
        <v>139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</row>
    <row r="49" spans="1:8">
      <c r="A49" s="19" t="s">
        <v>140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</row>
    <row r="50" spans="1:8">
      <c r="A50" s="19" t="s">
        <v>141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</row>
    <row r="51" spans="1:8">
      <c r="A51" s="19" t="s">
        <v>142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</row>
    <row r="52" spans="1:8">
      <c r="A52" s="19" t="s">
        <v>143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</row>
    <row r="53" spans="1:8">
      <c r="A53" s="19" t="s">
        <v>144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</row>
    <row r="54" spans="1:8">
      <c r="A54" s="19" t="s">
        <v>145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</row>
    <row r="55" spans="1:8">
      <c r="A55" s="17"/>
      <c r="B55" s="17"/>
      <c r="C55" s="17"/>
      <c r="D55" s="17"/>
      <c r="E55" s="17"/>
      <c r="F55" s="17"/>
    </row>
    <row r="56" spans="1:8">
      <c r="A56" s="19" t="s">
        <v>146</v>
      </c>
      <c r="B56" s="20">
        <v>5014923</v>
      </c>
      <c r="C56" s="20">
        <v>5839519</v>
      </c>
      <c r="D56" s="20">
        <v>7699798</v>
      </c>
      <c r="E56" s="20">
        <v>8635709</v>
      </c>
      <c r="F56" s="20">
        <v>9755811</v>
      </c>
    </row>
    <row r="57" spans="1:8">
      <c r="A57" s="19" t="s">
        <v>147</v>
      </c>
      <c r="B57" s="20">
        <v>1244471</v>
      </c>
      <c r="C57" s="20">
        <v>1885278</v>
      </c>
      <c r="D57" s="20">
        <v>2153497</v>
      </c>
      <c r="E57" s="20">
        <v>2892260</v>
      </c>
      <c r="F57" s="20">
        <v>2962879</v>
      </c>
      <c r="H57" s="62"/>
    </row>
    <row r="58" spans="1:8">
      <c r="A58" s="19" t="s">
        <v>148</v>
      </c>
      <c r="B58" s="20">
        <v>110153</v>
      </c>
      <c r="C58" s="20">
        <v>94185</v>
      </c>
      <c r="D58" s="20">
        <v>680791</v>
      </c>
      <c r="E58" s="20">
        <v>529813</v>
      </c>
      <c r="F58" s="20">
        <v>439748</v>
      </c>
    </row>
    <row r="59" spans="1:8">
      <c r="A59" s="19" t="s">
        <v>149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</row>
    <row r="60" spans="1:8">
      <c r="A60" s="19" t="s">
        <v>150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</row>
    <row r="61" spans="1:8">
      <c r="A61" s="19" t="s">
        <v>151</v>
      </c>
      <c r="B61" s="20">
        <v>1134318</v>
      </c>
      <c r="C61" s="20">
        <v>1791093</v>
      </c>
      <c r="D61" s="20">
        <v>1472706</v>
      </c>
      <c r="E61" s="20">
        <v>2362447</v>
      </c>
      <c r="F61" s="20">
        <v>2523131</v>
      </c>
    </row>
    <row r="62" spans="1:8">
      <c r="A62" s="19" t="s">
        <v>152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</row>
    <row r="63" spans="1:8">
      <c r="A63" s="19" t="s">
        <v>153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</row>
    <row r="64" spans="1:8">
      <c r="A64" s="17"/>
      <c r="B64" s="17"/>
      <c r="C64" s="17"/>
      <c r="D64" s="17"/>
      <c r="E64" s="17"/>
      <c r="F64" s="17"/>
    </row>
    <row r="65" spans="1:8">
      <c r="A65" s="19" t="s">
        <v>154</v>
      </c>
      <c r="B65" s="20">
        <v>3697489</v>
      </c>
      <c r="C65" s="20">
        <v>3520108</v>
      </c>
      <c r="D65" s="20">
        <v>5456367</v>
      </c>
      <c r="E65" s="20">
        <v>5081312</v>
      </c>
      <c r="F65" s="20">
        <v>6368430</v>
      </c>
    </row>
    <row r="66" spans="1:8">
      <c r="A66" s="26" t="s">
        <v>155</v>
      </c>
      <c r="B66" s="27">
        <v>2325766</v>
      </c>
      <c r="C66" s="27">
        <v>1192500</v>
      </c>
      <c r="D66" s="27">
        <v>1268047</v>
      </c>
      <c r="E66" s="27">
        <v>1367114</v>
      </c>
      <c r="F66" s="27">
        <v>899391</v>
      </c>
      <c r="H66" s="62"/>
    </row>
    <row r="67" spans="1:8">
      <c r="A67" s="26" t="s">
        <v>156</v>
      </c>
      <c r="B67" s="27">
        <v>0</v>
      </c>
      <c r="C67" s="27">
        <v>0</v>
      </c>
      <c r="D67" s="27">
        <v>0</v>
      </c>
      <c r="E67" s="27">
        <v>0</v>
      </c>
      <c r="F67" s="27">
        <v>0</v>
      </c>
      <c r="H67" s="62"/>
    </row>
    <row r="68" spans="1:8">
      <c r="A68" s="26" t="s">
        <v>157</v>
      </c>
      <c r="B68" s="27">
        <v>695190</v>
      </c>
      <c r="C68" s="27">
        <v>1976426</v>
      </c>
      <c r="D68" s="27">
        <v>3212819</v>
      </c>
      <c r="E68" s="27">
        <v>3039824</v>
      </c>
      <c r="F68" s="27">
        <v>3700407</v>
      </c>
      <c r="H68" s="62"/>
    </row>
    <row r="69" spans="1:8">
      <c r="A69" s="26" t="s">
        <v>158</v>
      </c>
      <c r="B69" s="27">
        <v>0</v>
      </c>
      <c r="C69" s="27">
        <v>0</v>
      </c>
      <c r="D69" s="27">
        <v>0</v>
      </c>
      <c r="E69" s="27">
        <v>0</v>
      </c>
      <c r="F69" s="27">
        <v>0</v>
      </c>
      <c r="H69" s="62"/>
    </row>
    <row r="70" spans="1:8">
      <c r="A70" s="26" t="s">
        <v>159</v>
      </c>
      <c r="B70" s="27">
        <v>0</v>
      </c>
      <c r="C70" s="27">
        <v>0</v>
      </c>
      <c r="D70" s="27">
        <v>0</v>
      </c>
      <c r="E70" s="27">
        <v>0</v>
      </c>
      <c r="F70" s="27">
        <v>0</v>
      </c>
      <c r="H70" s="62"/>
    </row>
    <row r="71" spans="1:8">
      <c r="A71" s="26" t="s">
        <v>160</v>
      </c>
      <c r="B71" s="27">
        <v>0</v>
      </c>
      <c r="C71" s="27">
        <v>0</v>
      </c>
      <c r="D71" s="27">
        <v>0</v>
      </c>
      <c r="E71" s="27">
        <v>0</v>
      </c>
      <c r="F71" s="27">
        <v>0</v>
      </c>
      <c r="H71" s="62"/>
    </row>
    <row r="72" spans="1:8">
      <c r="A72" s="26" t="s">
        <v>161</v>
      </c>
      <c r="B72" s="27">
        <v>0</v>
      </c>
      <c r="C72" s="27">
        <v>0</v>
      </c>
      <c r="D72" s="27">
        <v>0</v>
      </c>
      <c r="E72" s="27">
        <v>0</v>
      </c>
      <c r="F72" s="27">
        <v>0</v>
      </c>
      <c r="H72" s="62"/>
    </row>
    <row r="73" spans="1:8">
      <c r="A73" s="26" t="s">
        <v>162</v>
      </c>
      <c r="B73" s="27">
        <v>0</v>
      </c>
      <c r="C73" s="27">
        <v>0</v>
      </c>
      <c r="D73" s="27">
        <v>0</v>
      </c>
      <c r="E73" s="27">
        <v>0</v>
      </c>
      <c r="F73" s="27">
        <v>0</v>
      </c>
      <c r="H73" s="62"/>
    </row>
    <row r="74" spans="1:8">
      <c r="A74" s="26" t="s">
        <v>163</v>
      </c>
      <c r="B74" s="27">
        <v>0</v>
      </c>
      <c r="C74" s="27">
        <v>0</v>
      </c>
      <c r="D74" s="27">
        <v>0</v>
      </c>
      <c r="E74" s="27">
        <v>0</v>
      </c>
      <c r="F74" s="27">
        <v>0</v>
      </c>
      <c r="H74" s="62"/>
    </row>
    <row r="75" spans="1:8">
      <c r="A75" s="26" t="s">
        <v>164</v>
      </c>
      <c r="B75" s="27">
        <v>0</v>
      </c>
      <c r="C75" s="27">
        <v>0</v>
      </c>
      <c r="D75" s="27">
        <v>0</v>
      </c>
      <c r="E75" s="27">
        <v>0</v>
      </c>
      <c r="F75" s="27">
        <v>0</v>
      </c>
      <c r="H75" s="62"/>
    </row>
    <row r="76" spans="1:8">
      <c r="A76" s="26" t="s">
        <v>165</v>
      </c>
      <c r="B76" s="27">
        <v>376896</v>
      </c>
      <c r="C76" s="27">
        <v>110232</v>
      </c>
      <c r="D76" s="27">
        <v>88788</v>
      </c>
      <c r="E76" s="27">
        <v>117437</v>
      </c>
      <c r="F76" s="27">
        <v>1340987</v>
      </c>
      <c r="H76" s="62"/>
    </row>
    <row r="77" spans="1:8">
      <c r="A77" s="26" t="s">
        <v>166</v>
      </c>
      <c r="B77" s="27">
        <v>0</v>
      </c>
      <c r="C77" s="27">
        <v>0</v>
      </c>
      <c r="D77" s="27">
        <v>0</v>
      </c>
      <c r="E77" s="27">
        <v>0</v>
      </c>
      <c r="F77" s="27">
        <v>0</v>
      </c>
      <c r="H77" s="62"/>
    </row>
    <row r="78" spans="1:8">
      <c r="A78" s="26" t="s">
        <v>167</v>
      </c>
      <c r="B78" s="27">
        <v>0</v>
      </c>
      <c r="C78" s="27">
        <v>0</v>
      </c>
      <c r="D78" s="27">
        <v>0</v>
      </c>
      <c r="E78" s="27">
        <v>0</v>
      </c>
      <c r="F78" s="27">
        <v>0</v>
      </c>
      <c r="H78" s="62"/>
    </row>
    <row r="79" spans="1:8">
      <c r="A79" s="26" t="s">
        <v>168</v>
      </c>
      <c r="B79" s="27">
        <v>0</v>
      </c>
      <c r="C79" s="27">
        <v>0</v>
      </c>
      <c r="D79" s="27">
        <v>0</v>
      </c>
      <c r="E79" s="27">
        <v>0</v>
      </c>
      <c r="F79" s="27">
        <v>0</v>
      </c>
      <c r="H79" s="62"/>
    </row>
    <row r="80" spans="1:8">
      <c r="A80" s="26" t="s">
        <v>169</v>
      </c>
      <c r="B80" s="27">
        <v>299637</v>
      </c>
      <c r="C80" s="27">
        <v>240950</v>
      </c>
      <c r="D80" s="27">
        <v>886713</v>
      </c>
      <c r="E80" s="27">
        <v>556937</v>
      </c>
      <c r="F80" s="27">
        <v>427645</v>
      </c>
      <c r="H80" s="62"/>
    </row>
    <row r="81" spans="1:8">
      <c r="A81" s="26" t="s">
        <v>170</v>
      </c>
      <c r="B81" s="27">
        <v>0</v>
      </c>
      <c r="C81" s="27">
        <v>0</v>
      </c>
      <c r="D81" s="27">
        <v>0</v>
      </c>
      <c r="E81" s="27">
        <v>0</v>
      </c>
      <c r="F81" s="27">
        <v>0</v>
      </c>
      <c r="H81" s="62"/>
    </row>
    <row r="82" spans="1:8">
      <c r="A82" s="26" t="s">
        <v>171</v>
      </c>
      <c r="B82" s="27">
        <v>3697489</v>
      </c>
      <c r="C82" s="27">
        <v>3520108</v>
      </c>
      <c r="D82" s="27">
        <v>5456367</v>
      </c>
      <c r="E82" s="27">
        <v>5081312</v>
      </c>
      <c r="F82" s="27">
        <v>6368430</v>
      </c>
      <c r="H82" s="62"/>
    </row>
    <row r="83" spans="1:8">
      <c r="A83" s="26" t="s">
        <v>172</v>
      </c>
      <c r="B83" s="28" t="s">
        <v>104</v>
      </c>
      <c r="C83" s="28" t="s">
        <v>104</v>
      </c>
      <c r="D83" s="28" t="s">
        <v>104</v>
      </c>
      <c r="E83" s="28" t="s">
        <v>104</v>
      </c>
      <c r="F83" s="28" t="s">
        <v>104</v>
      </c>
      <c r="H83" s="62"/>
    </row>
    <row r="84" spans="1:8">
      <c r="A84" s="26" t="s">
        <v>173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H84" s="62"/>
    </row>
    <row r="85" spans="1:8">
      <c r="A85" s="17"/>
      <c r="B85" s="17"/>
      <c r="C85" s="17"/>
      <c r="D85" s="17"/>
      <c r="E85" s="17"/>
      <c r="F85" s="17"/>
    </row>
    <row r="86" spans="1:8">
      <c r="A86" s="19" t="s">
        <v>174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H86" s="62"/>
    </row>
    <row r="87" spans="1:8">
      <c r="A87" s="19" t="s">
        <v>175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</row>
    <row r="88" spans="1:8">
      <c r="A88" s="19" t="s">
        <v>176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</row>
    <row r="89" spans="1:8">
      <c r="A89" s="19" t="s">
        <v>177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</row>
    <row r="90" spans="1:8">
      <c r="A90" s="19" t="s">
        <v>178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</row>
    <row r="91" spans="1:8">
      <c r="A91" s="19" t="s">
        <v>179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</row>
    <row r="92" spans="1:8">
      <c r="A92" s="19" t="s">
        <v>180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</row>
    <row r="93" spans="1:8">
      <c r="A93" s="19" t="s">
        <v>145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</row>
    <row r="94" spans="1:8">
      <c r="A94" s="19" t="s">
        <v>181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</row>
    <row r="95" spans="1:8">
      <c r="A95" s="19" t="s">
        <v>182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</row>
    <row r="96" spans="1:8">
      <c r="A96" s="19" t="s">
        <v>183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</row>
    <row r="97" spans="1:9">
      <c r="A97" s="17"/>
      <c r="B97" s="17"/>
      <c r="C97" s="17"/>
      <c r="D97" s="17"/>
      <c r="E97" s="17"/>
      <c r="F97" s="17"/>
    </row>
    <row r="98" spans="1:9">
      <c r="A98" s="19" t="s">
        <v>184</v>
      </c>
      <c r="B98" s="20">
        <v>72963</v>
      </c>
      <c r="C98" s="20">
        <v>434133</v>
      </c>
      <c r="D98" s="20">
        <v>89934</v>
      </c>
      <c r="E98" s="20">
        <v>662137</v>
      </c>
      <c r="F98" s="20">
        <v>424502</v>
      </c>
      <c r="H98" s="62"/>
    </row>
    <row r="99" spans="1:9">
      <c r="A99" s="19" t="s">
        <v>185</v>
      </c>
      <c r="B99" s="20">
        <v>68090</v>
      </c>
      <c r="C99" s="20">
        <v>428005</v>
      </c>
      <c r="D99" s="20">
        <v>80730</v>
      </c>
      <c r="E99" s="20">
        <v>645213</v>
      </c>
      <c r="F99" s="20">
        <v>394963</v>
      </c>
    </row>
    <row r="100" spans="1:9">
      <c r="A100" s="19" t="s">
        <v>186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</row>
    <row r="101" spans="1:9">
      <c r="A101" s="19" t="s">
        <v>187</v>
      </c>
      <c r="B101" s="20">
        <v>4873</v>
      </c>
      <c r="C101" s="20">
        <v>6128</v>
      </c>
      <c r="D101" s="20">
        <v>9204</v>
      </c>
      <c r="E101" s="20">
        <v>16924</v>
      </c>
      <c r="F101" s="20">
        <v>29539</v>
      </c>
    </row>
    <row r="102" spans="1:9">
      <c r="A102" s="17"/>
      <c r="B102" s="17"/>
      <c r="C102" s="17"/>
      <c r="D102" s="17"/>
      <c r="E102" s="17"/>
      <c r="F102" s="17"/>
    </row>
    <row r="103" spans="1:9">
      <c r="A103" s="19" t="s">
        <v>188</v>
      </c>
      <c r="B103" s="20">
        <v>1239211</v>
      </c>
      <c r="C103" s="20">
        <v>848040</v>
      </c>
      <c r="D103" s="20">
        <v>449103</v>
      </c>
      <c r="E103" s="20">
        <v>708330</v>
      </c>
      <c r="F103" s="20">
        <v>637766</v>
      </c>
      <c r="H103" s="62"/>
      <c r="I103" s="62"/>
    </row>
    <row r="104" spans="1:9">
      <c r="A104" s="19" t="s">
        <v>189</v>
      </c>
      <c r="B104" s="18" t="s">
        <v>104</v>
      </c>
      <c r="C104" s="18" t="s">
        <v>104</v>
      </c>
      <c r="D104" s="18" t="s">
        <v>104</v>
      </c>
      <c r="E104" s="18" t="s">
        <v>104</v>
      </c>
      <c r="F104" s="18" t="s">
        <v>104</v>
      </c>
    </row>
    <row r="105" spans="1:9">
      <c r="A105" s="17"/>
      <c r="B105" s="17"/>
      <c r="C105" s="17"/>
      <c r="D105" s="17"/>
      <c r="E105" s="17"/>
      <c r="F105" s="17"/>
    </row>
    <row r="106" spans="1:9">
      <c r="A106" s="19" t="s">
        <v>190</v>
      </c>
      <c r="B106" s="20">
        <v>6831833</v>
      </c>
      <c r="C106" s="20">
        <v>7250567</v>
      </c>
      <c r="D106" s="20">
        <v>8985482</v>
      </c>
      <c r="E106" s="20">
        <v>10877098</v>
      </c>
      <c r="F106" s="20">
        <v>11990730</v>
      </c>
    </row>
    <row r="107" spans="1:9">
      <c r="A107" s="17"/>
      <c r="B107" s="17"/>
      <c r="C107" s="17"/>
      <c r="D107" s="17"/>
      <c r="E107" s="17"/>
      <c r="F107" s="17"/>
    </row>
    <row r="108" spans="1:9">
      <c r="A108" s="24" t="s">
        <v>191</v>
      </c>
      <c r="B108" s="25"/>
      <c r="C108" s="25"/>
      <c r="D108" s="25"/>
      <c r="E108" s="25"/>
      <c r="F108" s="25"/>
    </row>
    <row r="109" spans="1:9">
      <c r="A109" s="17"/>
      <c r="B109" s="17"/>
      <c r="C109" s="17"/>
      <c r="D109" s="17"/>
      <c r="E109" s="17"/>
      <c r="F109" s="17"/>
    </row>
    <row r="110" spans="1:9">
      <c r="A110" s="29" t="s">
        <v>192</v>
      </c>
      <c r="B110" s="30"/>
      <c r="C110" s="30"/>
      <c r="D110" s="30"/>
      <c r="E110" s="30"/>
      <c r="F110" s="30"/>
    </row>
    <row r="111" spans="1:9">
      <c r="A111" s="17"/>
      <c r="B111" s="17"/>
      <c r="C111" s="17"/>
      <c r="D111" s="17"/>
      <c r="E111" s="17"/>
      <c r="F111" s="17"/>
    </row>
    <row r="112" spans="1:9">
      <c r="A112" s="19" t="s">
        <v>193</v>
      </c>
      <c r="B112" s="20">
        <v>662137</v>
      </c>
      <c r="C112" s="20">
        <v>966890</v>
      </c>
      <c r="D112" s="20">
        <v>1480696</v>
      </c>
      <c r="E112" s="20">
        <v>2257478</v>
      </c>
      <c r="F112" s="20">
        <v>2929765</v>
      </c>
      <c r="H112" s="62"/>
    </row>
    <row r="113" spans="1:6">
      <c r="A113" s="19" t="s">
        <v>194</v>
      </c>
      <c r="B113" s="20">
        <v>100000</v>
      </c>
      <c r="C113" s="20">
        <v>100000</v>
      </c>
      <c r="D113" s="20">
        <v>100000</v>
      </c>
      <c r="E113" s="20">
        <v>100000</v>
      </c>
      <c r="F113" s="20">
        <v>100000</v>
      </c>
    </row>
    <row r="114" spans="1:6">
      <c r="A114" s="19" t="s">
        <v>195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</row>
    <row r="115" spans="1:6">
      <c r="A115" s="19" t="s">
        <v>196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</row>
    <row r="116" spans="1:6">
      <c r="A116" s="19" t="s">
        <v>197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</row>
    <row r="117" spans="1:6">
      <c r="A117" s="19" t="s">
        <v>198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</row>
    <row r="118" spans="1:6">
      <c r="A118" s="19" t="s">
        <v>199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</row>
    <row r="119" spans="1:6">
      <c r="A119" s="19" t="s">
        <v>200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</row>
    <row r="120" spans="1:6">
      <c r="A120" s="19" t="s">
        <v>201</v>
      </c>
      <c r="B120" s="20">
        <v>2000</v>
      </c>
      <c r="C120" s="20">
        <v>2000</v>
      </c>
      <c r="D120" s="20">
        <v>2000</v>
      </c>
      <c r="E120" s="20">
        <v>2000</v>
      </c>
      <c r="F120" s="20">
        <v>2000</v>
      </c>
    </row>
    <row r="121" spans="1:6">
      <c r="A121" s="19" t="s">
        <v>202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</row>
    <row r="122" spans="1:6">
      <c r="A122" s="19" t="s">
        <v>203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</row>
    <row r="123" spans="1:6">
      <c r="A123" s="19" t="s">
        <v>204</v>
      </c>
      <c r="B123" s="20">
        <v>540433</v>
      </c>
      <c r="C123" s="20">
        <v>540436</v>
      </c>
      <c r="D123" s="20">
        <v>540434</v>
      </c>
      <c r="E123" s="20">
        <v>540436</v>
      </c>
      <c r="F123" s="20">
        <v>540433</v>
      </c>
    </row>
    <row r="124" spans="1:6">
      <c r="A124" s="19" t="s">
        <v>205</v>
      </c>
      <c r="B124" s="18" t="s">
        <v>104</v>
      </c>
      <c r="C124" s="18" t="s">
        <v>104</v>
      </c>
      <c r="D124" s="18" t="s">
        <v>104</v>
      </c>
      <c r="E124" s="18" t="s">
        <v>104</v>
      </c>
      <c r="F124" s="18" t="s">
        <v>104</v>
      </c>
    </row>
    <row r="125" spans="1:6">
      <c r="A125" s="19" t="s">
        <v>206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</row>
    <row r="126" spans="1:6">
      <c r="A126" s="19" t="s">
        <v>207</v>
      </c>
      <c r="B126" s="20">
        <v>0</v>
      </c>
      <c r="C126" s="20">
        <v>19704</v>
      </c>
      <c r="D126" s="20">
        <v>324454</v>
      </c>
      <c r="E126" s="20">
        <v>838262</v>
      </c>
      <c r="F126" s="20">
        <v>1615043</v>
      </c>
    </row>
    <row r="127" spans="1:6">
      <c r="A127" s="19" t="s">
        <v>208</v>
      </c>
      <c r="B127" s="20">
        <v>19704</v>
      </c>
      <c r="C127" s="20">
        <v>304750</v>
      </c>
      <c r="D127" s="20">
        <v>513808</v>
      </c>
      <c r="E127" s="20">
        <v>776780</v>
      </c>
      <c r="F127" s="20">
        <v>672289</v>
      </c>
    </row>
    <row r="128" spans="1:6">
      <c r="A128" s="19" t="s">
        <v>209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</row>
    <row r="129" spans="1:8">
      <c r="A129" s="19" t="s">
        <v>210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</row>
    <row r="130" spans="1:8">
      <c r="A130" s="19" t="s">
        <v>211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</row>
    <row r="131" spans="1:8">
      <c r="A131" s="19" t="s">
        <v>212</v>
      </c>
      <c r="B131" s="18" t="s">
        <v>104</v>
      </c>
      <c r="C131" s="18" t="s">
        <v>104</v>
      </c>
      <c r="D131" s="18" t="s">
        <v>104</v>
      </c>
      <c r="E131" s="18" t="s">
        <v>104</v>
      </c>
      <c r="F131" s="18" t="s">
        <v>104</v>
      </c>
    </row>
    <row r="132" spans="1:8">
      <c r="A132" s="19" t="s">
        <v>213</v>
      </c>
      <c r="B132" s="18" t="s">
        <v>104</v>
      </c>
      <c r="C132" s="18" t="s">
        <v>104</v>
      </c>
      <c r="D132" s="18" t="s">
        <v>104</v>
      </c>
      <c r="E132" s="18" t="s">
        <v>104</v>
      </c>
      <c r="F132" s="18" t="s">
        <v>104</v>
      </c>
    </row>
    <row r="133" spans="1:8">
      <c r="A133" s="19" t="s">
        <v>214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</row>
    <row r="134" spans="1:8">
      <c r="A134" s="19" t="s">
        <v>215</v>
      </c>
      <c r="B134" s="18" t="s">
        <v>104</v>
      </c>
      <c r="C134" s="18" t="s">
        <v>104</v>
      </c>
      <c r="D134" s="18" t="s">
        <v>104</v>
      </c>
      <c r="E134" s="18" t="s">
        <v>104</v>
      </c>
      <c r="F134" s="18" t="s">
        <v>104</v>
      </c>
    </row>
    <row r="135" spans="1:8">
      <c r="A135" s="19" t="s">
        <v>216</v>
      </c>
      <c r="B135" s="18" t="s">
        <v>104</v>
      </c>
      <c r="C135" s="18" t="s">
        <v>104</v>
      </c>
      <c r="D135" s="18" t="s">
        <v>104</v>
      </c>
      <c r="E135" s="18" t="s">
        <v>104</v>
      </c>
      <c r="F135" s="18" t="s">
        <v>104</v>
      </c>
    </row>
    <row r="136" spans="1:8">
      <c r="A136" s="17"/>
      <c r="B136" s="17"/>
      <c r="C136" s="17"/>
      <c r="D136" s="17"/>
      <c r="E136" s="17"/>
      <c r="F136" s="17"/>
    </row>
    <row r="137" spans="1:8">
      <c r="A137" s="19" t="s">
        <v>217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H137" s="62"/>
    </row>
    <row r="138" spans="1:8">
      <c r="A138" s="19" t="s">
        <v>218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H138" s="62"/>
    </row>
    <row r="139" spans="1:8">
      <c r="A139" s="19" t="s">
        <v>219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H139" s="62"/>
    </row>
    <row r="140" spans="1:8">
      <c r="A140" s="19" t="s">
        <v>220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H140" s="62"/>
    </row>
    <row r="141" spans="1:8">
      <c r="A141" s="19" t="s">
        <v>221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H141" s="62"/>
    </row>
    <row r="142" spans="1:8">
      <c r="A142" s="19" t="s">
        <v>222</v>
      </c>
      <c r="B142" s="18" t="s">
        <v>104</v>
      </c>
      <c r="C142" s="18" t="s">
        <v>104</v>
      </c>
      <c r="D142" s="18" t="s">
        <v>104</v>
      </c>
      <c r="E142" s="18" t="s">
        <v>104</v>
      </c>
      <c r="F142" s="18" t="s">
        <v>104</v>
      </c>
      <c r="H142" s="62"/>
    </row>
    <row r="143" spans="1:8">
      <c r="A143" s="17"/>
      <c r="B143" s="17"/>
      <c r="C143" s="17"/>
      <c r="D143" s="17"/>
      <c r="E143" s="17"/>
      <c r="F143" s="17"/>
    </row>
    <row r="144" spans="1:8">
      <c r="A144" s="19" t="s">
        <v>223</v>
      </c>
      <c r="B144" s="20">
        <v>193620</v>
      </c>
      <c r="C144" s="20">
        <v>220634</v>
      </c>
      <c r="D144" s="20">
        <v>253701</v>
      </c>
      <c r="E144" s="20">
        <v>307482</v>
      </c>
      <c r="F144" s="20">
        <v>275626</v>
      </c>
      <c r="H144" s="62"/>
    </row>
    <row r="145" spans="1:10">
      <c r="A145" s="17"/>
      <c r="B145" s="17"/>
      <c r="C145" s="17"/>
      <c r="D145" s="17"/>
      <c r="E145" s="17"/>
      <c r="F145" s="17"/>
    </row>
    <row r="146" spans="1:10">
      <c r="A146" s="29" t="s">
        <v>224</v>
      </c>
      <c r="B146" s="30"/>
      <c r="C146" s="30"/>
      <c r="D146" s="30"/>
      <c r="E146" s="30"/>
      <c r="F146" s="30"/>
    </row>
    <row r="147" spans="1:10">
      <c r="A147" s="17"/>
      <c r="B147" s="17"/>
      <c r="C147" s="17"/>
      <c r="D147" s="17"/>
      <c r="E147" s="17"/>
      <c r="F147" s="17"/>
    </row>
    <row r="148" spans="1:10">
      <c r="A148" s="19" t="s">
        <v>225</v>
      </c>
      <c r="B148" s="20">
        <v>5813222</v>
      </c>
      <c r="C148" s="20">
        <v>5876201</v>
      </c>
      <c r="D148" s="20">
        <v>7028521</v>
      </c>
      <c r="E148" s="20">
        <v>8006873</v>
      </c>
      <c r="F148" s="20">
        <v>8468346</v>
      </c>
    </row>
    <row r="149" spans="1:10">
      <c r="A149" s="19" t="s">
        <v>226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H149" s="62"/>
    </row>
    <row r="150" spans="1:10">
      <c r="A150" s="19" t="s">
        <v>227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H150" s="62"/>
      <c r="J150" s="64" t="s">
        <v>463</v>
      </c>
    </row>
    <row r="151" spans="1:10">
      <c r="A151" s="19" t="s">
        <v>228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H151" s="62"/>
    </row>
    <row r="152" spans="1:10">
      <c r="A152" s="19" t="s">
        <v>229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H152" s="62"/>
      <c r="J152" s="64" t="s">
        <v>463</v>
      </c>
    </row>
    <row r="153" spans="1:10">
      <c r="A153" s="19" t="s">
        <v>230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H153" s="62"/>
    </row>
    <row r="154" spans="1:10">
      <c r="A154" s="19" t="s">
        <v>231</v>
      </c>
      <c r="B154" s="20">
        <v>1300000</v>
      </c>
      <c r="C154" s="20">
        <v>1300000</v>
      </c>
      <c r="D154" s="20">
        <v>0</v>
      </c>
      <c r="E154" s="20">
        <v>0</v>
      </c>
      <c r="F154" s="20">
        <v>0</v>
      </c>
      <c r="H154" s="62"/>
      <c r="J154" s="64" t="s">
        <v>463</v>
      </c>
    </row>
    <row r="155" spans="1:10">
      <c r="A155" s="19" t="s">
        <v>232</v>
      </c>
      <c r="B155" s="20">
        <v>954402</v>
      </c>
      <c r="C155" s="20">
        <v>408353</v>
      </c>
      <c r="D155" s="20">
        <v>1174483</v>
      </c>
      <c r="E155" s="20">
        <v>893797</v>
      </c>
      <c r="F155" s="20">
        <v>2067585</v>
      </c>
      <c r="H155" s="62"/>
    </row>
    <row r="156" spans="1:10">
      <c r="A156" s="19" t="s">
        <v>233</v>
      </c>
      <c r="B156" s="20">
        <v>1967673</v>
      </c>
      <c r="C156" s="20">
        <v>2590830</v>
      </c>
      <c r="D156" s="20">
        <v>2014910</v>
      </c>
      <c r="E156" s="20">
        <v>3256605</v>
      </c>
      <c r="F156" s="20">
        <v>3190619</v>
      </c>
      <c r="H156" s="62"/>
      <c r="J156" s="64" t="s">
        <v>463</v>
      </c>
    </row>
    <row r="157" spans="1:10">
      <c r="A157" s="19" t="s">
        <v>234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H157" s="62"/>
    </row>
    <row r="158" spans="1:10">
      <c r="A158" s="19" t="s">
        <v>235</v>
      </c>
      <c r="B158" s="20">
        <v>0</v>
      </c>
      <c r="C158" s="20">
        <v>0</v>
      </c>
      <c r="D158" s="20">
        <v>1300000</v>
      </c>
      <c r="E158" s="20">
        <v>1226527</v>
      </c>
      <c r="F158" s="20">
        <v>1052935</v>
      </c>
      <c r="H158" s="62"/>
      <c r="J158" s="64" t="s">
        <v>463</v>
      </c>
    </row>
    <row r="159" spans="1:10">
      <c r="A159" s="19" t="s">
        <v>236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H159" s="62"/>
    </row>
    <row r="160" spans="1:10">
      <c r="A160" s="19" t="s">
        <v>237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H160" s="62"/>
      <c r="J160" s="64" t="s">
        <v>463</v>
      </c>
    </row>
    <row r="161" spans="1:10">
      <c r="A161" s="19" t="s">
        <v>238</v>
      </c>
      <c r="B161" s="20">
        <v>1047973</v>
      </c>
      <c r="C161" s="20">
        <v>1023644</v>
      </c>
      <c r="D161" s="20">
        <v>1770389</v>
      </c>
      <c r="E161" s="20">
        <v>1844400</v>
      </c>
      <c r="F161" s="20">
        <v>1259596</v>
      </c>
      <c r="H161" s="62"/>
    </row>
    <row r="162" spans="1:10">
      <c r="A162" s="19" t="s">
        <v>239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H162" s="62"/>
      <c r="J162" s="64" t="s">
        <v>463</v>
      </c>
    </row>
    <row r="163" spans="1:10">
      <c r="A163" s="19" t="s">
        <v>240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H163" s="62"/>
    </row>
    <row r="164" spans="1:10">
      <c r="A164" s="19" t="s">
        <v>241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H164" s="62"/>
      <c r="J164" s="64" t="s">
        <v>463</v>
      </c>
    </row>
    <row r="165" spans="1:10">
      <c r="A165" s="19" t="s">
        <v>242</v>
      </c>
      <c r="B165" s="20">
        <v>38346</v>
      </c>
      <c r="C165" s="20">
        <v>60224</v>
      </c>
      <c r="D165" s="20">
        <v>42081</v>
      </c>
      <c r="E165" s="20">
        <v>169420</v>
      </c>
      <c r="F165" s="20">
        <v>192603</v>
      </c>
      <c r="H165" s="62"/>
    </row>
    <row r="166" spans="1:10">
      <c r="A166" s="19" t="s">
        <v>243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H166" s="62"/>
    </row>
    <row r="167" spans="1:10">
      <c r="A167" s="19" t="s">
        <v>244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H167" s="62"/>
    </row>
    <row r="168" spans="1:10">
      <c r="A168" s="19" t="s">
        <v>245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H168" s="62"/>
    </row>
    <row r="169" spans="1:10">
      <c r="A169" s="19" t="s">
        <v>246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H169" s="62"/>
    </row>
    <row r="170" spans="1:10">
      <c r="A170" s="19" t="s">
        <v>247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H170" s="62"/>
    </row>
    <row r="171" spans="1:10">
      <c r="A171" s="19" t="s">
        <v>248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H171" s="62"/>
    </row>
    <row r="172" spans="1:10">
      <c r="A172" s="19" t="s">
        <v>249</v>
      </c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H172" s="62"/>
    </row>
    <row r="173" spans="1:10">
      <c r="A173" s="19" t="s">
        <v>250</v>
      </c>
      <c r="B173" s="20">
        <v>25687</v>
      </c>
      <c r="C173" s="20">
        <v>43393</v>
      </c>
      <c r="D173" s="20">
        <v>155494</v>
      </c>
      <c r="E173" s="20">
        <v>75574</v>
      </c>
      <c r="F173" s="20">
        <v>105048</v>
      </c>
      <c r="H173" s="62"/>
    </row>
    <row r="174" spans="1:10">
      <c r="A174" s="19" t="s">
        <v>251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H174" s="62"/>
      <c r="J174" s="64" t="s">
        <v>463</v>
      </c>
    </row>
    <row r="175" spans="1:10">
      <c r="A175" s="19" t="s">
        <v>252</v>
      </c>
      <c r="B175" s="20">
        <v>40044</v>
      </c>
      <c r="C175" s="20">
        <v>10997</v>
      </c>
      <c r="D175" s="20">
        <v>30014</v>
      </c>
      <c r="E175" s="20">
        <v>56938</v>
      </c>
      <c r="F175" s="20">
        <v>63738</v>
      </c>
      <c r="H175" s="62"/>
    </row>
    <row r="176" spans="1:10">
      <c r="A176" s="19" t="s">
        <v>253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H176" s="62"/>
      <c r="J176" s="64" t="s">
        <v>463</v>
      </c>
    </row>
    <row r="177" spans="1:10">
      <c r="A177" s="19" t="s">
        <v>254</v>
      </c>
      <c r="B177" s="20">
        <v>439097</v>
      </c>
      <c r="C177" s="20">
        <v>438760</v>
      </c>
      <c r="D177" s="20">
        <v>541150</v>
      </c>
      <c r="E177" s="20">
        <v>483612</v>
      </c>
      <c r="F177" s="20">
        <v>536222</v>
      </c>
      <c r="H177" s="62"/>
    </row>
    <row r="178" spans="1:10">
      <c r="A178" s="19" t="s">
        <v>255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H178" s="62"/>
      <c r="J178" s="64" t="s">
        <v>463</v>
      </c>
    </row>
    <row r="179" spans="1:10">
      <c r="A179" s="19" t="s">
        <v>256</v>
      </c>
      <c r="B179" s="20">
        <v>2545549</v>
      </c>
      <c r="C179" s="20">
        <v>1985371</v>
      </c>
      <c r="D179" s="20">
        <v>3713611</v>
      </c>
      <c r="E179" s="20">
        <v>3523741</v>
      </c>
      <c r="F179" s="20">
        <v>4224792</v>
      </c>
    </row>
    <row r="180" spans="1:10">
      <c r="A180" s="19" t="s">
        <v>257</v>
      </c>
      <c r="B180" s="20">
        <v>3267673</v>
      </c>
      <c r="C180" s="20">
        <v>3890830</v>
      </c>
      <c r="D180" s="20">
        <v>3314910</v>
      </c>
      <c r="E180" s="20">
        <v>4483132</v>
      </c>
      <c r="F180" s="20">
        <v>4243554</v>
      </c>
    </row>
    <row r="181" spans="1:10">
      <c r="A181" s="17"/>
      <c r="B181" s="17"/>
      <c r="C181" s="17"/>
      <c r="D181" s="17"/>
      <c r="E181" s="17"/>
      <c r="F181" s="17"/>
    </row>
    <row r="182" spans="1:10">
      <c r="A182" s="19" t="s">
        <v>258</v>
      </c>
      <c r="B182" s="20">
        <v>2545549</v>
      </c>
      <c r="C182" s="20">
        <v>1985371</v>
      </c>
      <c r="D182" s="20">
        <v>3713611</v>
      </c>
      <c r="E182" s="20">
        <v>3523741</v>
      </c>
      <c r="F182" s="20">
        <v>4224792</v>
      </c>
    </row>
    <row r="183" spans="1:10">
      <c r="A183" s="19" t="s">
        <v>259</v>
      </c>
      <c r="B183" s="20">
        <v>3267673</v>
      </c>
      <c r="C183" s="20">
        <v>3890830</v>
      </c>
      <c r="D183" s="20">
        <v>3314910</v>
      </c>
      <c r="E183" s="20">
        <v>4483132</v>
      </c>
      <c r="F183" s="20">
        <v>4243554</v>
      </c>
    </row>
    <row r="184" spans="1:10">
      <c r="A184" s="17"/>
      <c r="B184" s="17"/>
      <c r="C184" s="17"/>
      <c r="D184" s="17"/>
      <c r="E184" s="17"/>
      <c r="F184" s="17"/>
    </row>
    <row r="185" spans="1:10">
      <c r="A185" s="19" t="s">
        <v>260</v>
      </c>
      <c r="B185" s="20">
        <v>162854</v>
      </c>
      <c r="C185" s="20">
        <v>186842</v>
      </c>
      <c r="D185" s="20">
        <v>222564</v>
      </c>
      <c r="E185" s="20">
        <v>305265</v>
      </c>
      <c r="F185" s="20">
        <v>316993</v>
      </c>
      <c r="H185" s="62"/>
    </row>
    <row r="186" spans="1:10">
      <c r="A186" s="19" t="s">
        <v>261</v>
      </c>
      <c r="B186" s="18" t="s">
        <v>104</v>
      </c>
      <c r="C186" s="18" t="s">
        <v>104</v>
      </c>
      <c r="D186" s="18" t="s">
        <v>104</v>
      </c>
      <c r="E186" s="18" t="s">
        <v>104</v>
      </c>
      <c r="F186" s="18" t="s">
        <v>104</v>
      </c>
    </row>
    <row r="187" spans="1:10">
      <c r="A187" s="17"/>
      <c r="B187" s="17"/>
      <c r="C187" s="17"/>
      <c r="D187" s="17"/>
      <c r="E187" s="17"/>
      <c r="F187" s="17"/>
    </row>
    <row r="188" spans="1:10">
      <c r="A188" s="19" t="s">
        <v>262</v>
      </c>
      <c r="B188" s="20">
        <v>6831833</v>
      </c>
      <c r="C188" s="20">
        <v>7250567</v>
      </c>
      <c r="D188" s="20">
        <v>8985482</v>
      </c>
      <c r="E188" s="20">
        <v>10877098</v>
      </c>
      <c r="F188" s="20">
        <v>11990730</v>
      </c>
    </row>
    <row r="189" spans="1:10">
      <c r="A189" s="17"/>
      <c r="B189" s="17"/>
      <c r="C189" s="17"/>
      <c r="D189" s="17"/>
      <c r="E189" s="17"/>
      <c r="F189" s="17"/>
    </row>
    <row r="190" spans="1:10">
      <c r="A190" s="19" t="s">
        <v>263</v>
      </c>
      <c r="B190" s="20">
        <v>0</v>
      </c>
      <c r="C190" s="20">
        <v>0</v>
      </c>
      <c r="D190" s="20">
        <v>0</v>
      </c>
      <c r="E190" s="20">
        <v>0</v>
      </c>
      <c r="F190" s="20">
        <v>0</v>
      </c>
    </row>
    <row r="191" spans="1:10">
      <c r="A191" s="19" t="s">
        <v>264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F10F-AD08-474D-9CF5-D760F25A2003}">
  <dimension ref="A1:R1000"/>
  <sheetViews>
    <sheetView tabSelected="1" topLeftCell="A179" workbookViewId="0">
      <selection activeCell="B270" sqref="B270"/>
    </sheetView>
  </sheetViews>
  <sheetFormatPr defaultColWidth="12.6640625" defaultRowHeight="13.2"/>
  <cols>
    <col min="1" max="2" width="47.6640625" customWidth="1"/>
    <col min="3" max="3" width="21.88671875" customWidth="1"/>
    <col min="4" max="4" width="19" customWidth="1"/>
    <col min="5" max="9" width="10.44140625" customWidth="1"/>
    <col min="10" max="10" width="22.21875" customWidth="1"/>
    <col min="11" max="11" width="11.44140625" customWidth="1"/>
    <col min="12" max="12" width="22.21875" customWidth="1"/>
    <col min="13" max="13" width="9.44140625" customWidth="1"/>
    <col min="14" max="14" width="11.109375" customWidth="1"/>
    <col min="15" max="17" width="0.109375" customWidth="1"/>
    <col min="18" max="18" width="3.21875" customWidth="1"/>
    <col min="19" max="26" width="11.109375" customWidth="1"/>
  </cols>
  <sheetData>
    <row r="1" spans="1:18" ht="16.5" customHeight="1">
      <c r="A1" s="599"/>
      <c r="B1" s="600" t="s">
        <v>0</v>
      </c>
      <c r="C1" s="601"/>
      <c r="D1" s="601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</row>
    <row r="2" spans="1:18">
      <c r="A2" s="599"/>
      <c r="B2" s="599"/>
      <c r="C2" s="599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</row>
    <row r="3" spans="1:18" ht="12" customHeight="1">
      <c r="A3" s="603"/>
      <c r="B3" s="601"/>
      <c r="C3" s="604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</row>
    <row r="4" spans="1:18" ht="12" customHeight="1">
      <c r="A4" s="605" t="s">
        <v>1</v>
      </c>
      <c r="B4" s="606" t="s">
        <v>2</v>
      </c>
      <c r="C4" s="607" t="s">
        <v>3</v>
      </c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</row>
    <row r="5" spans="1:18" ht="12" customHeight="1">
      <c r="A5" s="608"/>
      <c r="B5" s="606" t="s">
        <v>4</v>
      </c>
      <c r="C5" s="607" t="s">
        <v>5</v>
      </c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</row>
    <row r="6" spans="1:18" ht="12" customHeight="1">
      <c r="A6" s="605" t="s">
        <v>6</v>
      </c>
      <c r="B6" s="609"/>
      <c r="C6" s="604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</row>
    <row r="7" spans="1:18" ht="12" customHeight="1">
      <c r="A7" s="610" t="s">
        <v>7</v>
      </c>
      <c r="B7" s="601"/>
      <c r="C7" s="604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</row>
    <row r="8" spans="1:18" ht="12" customHeight="1">
      <c r="A8" s="611"/>
      <c r="B8" s="612"/>
      <c r="C8" s="613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  <c r="P8" s="602"/>
      <c r="Q8" s="602"/>
      <c r="R8" s="602"/>
    </row>
    <row r="9" spans="1:18" ht="12" customHeight="1">
      <c r="A9" s="609"/>
      <c r="B9" s="601"/>
      <c r="C9" s="601"/>
      <c r="D9" s="601"/>
      <c r="E9" s="601"/>
      <c r="F9" s="601"/>
      <c r="G9" s="601"/>
      <c r="H9" s="601"/>
      <c r="I9" s="601"/>
      <c r="J9" s="601"/>
      <c r="K9" s="602"/>
      <c r="L9" s="602"/>
      <c r="M9" s="602"/>
      <c r="N9" s="602"/>
      <c r="O9" s="602"/>
      <c r="P9" s="602"/>
      <c r="Q9" s="602"/>
      <c r="R9" s="602"/>
    </row>
    <row r="10" spans="1:18" ht="15.75" customHeight="1">
      <c r="A10" s="614" t="s">
        <v>8</v>
      </c>
      <c r="B10" s="615"/>
      <c r="C10" s="615"/>
      <c r="D10" s="615"/>
      <c r="E10" s="615"/>
      <c r="F10" s="615"/>
      <c r="G10" s="615"/>
      <c r="H10" s="615"/>
      <c r="I10" s="615"/>
      <c r="J10" s="615"/>
      <c r="K10" s="602"/>
      <c r="L10" s="602"/>
      <c r="M10" s="602"/>
      <c r="N10" s="602"/>
      <c r="O10" s="602"/>
      <c r="P10" s="602"/>
      <c r="Q10" s="602"/>
      <c r="R10" s="602"/>
    </row>
    <row r="11" spans="1:18" ht="12" customHeight="1">
      <c r="A11" s="609"/>
      <c r="B11" s="601"/>
      <c r="C11" s="601"/>
      <c r="D11" s="601"/>
      <c r="E11" s="601"/>
      <c r="F11" s="601"/>
      <c r="G11" s="601"/>
      <c r="H11" s="601"/>
      <c r="I11" s="601"/>
      <c r="J11" s="601"/>
      <c r="K11" s="602"/>
      <c r="L11" s="602"/>
      <c r="M11" s="602"/>
      <c r="N11" s="602"/>
      <c r="O11" s="602"/>
      <c r="P11" s="602"/>
      <c r="Q11" s="602"/>
      <c r="R11" s="602"/>
    </row>
    <row r="12" spans="1:18" ht="12" customHeight="1">
      <c r="A12" s="609"/>
      <c r="B12" s="601"/>
      <c r="C12" s="601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</row>
    <row r="13" spans="1:18" ht="12" customHeight="1">
      <c r="A13" s="616" t="s">
        <v>9</v>
      </c>
      <c r="B13" s="601"/>
      <c r="C13" s="601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</row>
    <row r="14" spans="1:18" ht="12" customHeight="1">
      <c r="A14" s="617" t="s">
        <v>10</v>
      </c>
      <c r="B14" s="606" t="s">
        <v>11</v>
      </c>
      <c r="C14" s="617" t="s">
        <v>12</v>
      </c>
      <c r="D14" s="602"/>
      <c r="E14" s="602"/>
      <c r="F14" s="602"/>
      <c r="G14" s="602"/>
      <c r="H14" s="602"/>
      <c r="I14" s="602"/>
      <c r="J14" s="602"/>
      <c r="K14" s="602"/>
      <c r="L14" s="602"/>
      <c r="M14" s="602"/>
      <c r="N14" s="602"/>
      <c r="O14" s="602"/>
      <c r="P14" s="602"/>
      <c r="Q14" s="602"/>
      <c r="R14" s="602"/>
    </row>
    <row r="15" spans="1:18" ht="12" customHeight="1">
      <c r="A15" s="617" t="s">
        <v>1</v>
      </c>
      <c r="B15" s="606" t="s">
        <v>13</v>
      </c>
      <c r="C15" s="618" t="str">
        <f>HYPERLINK("http://www.luistrenker.com/","www.luistrenker.com")</f>
        <v>www.luistrenker.com</v>
      </c>
      <c r="D15" s="602"/>
      <c r="E15" s="602"/>
      <c r="F15" s="602"/>
      <c r="G15" s="602"/>
      <c r="H15" s="602"/>
      <c r="I15" s="602"/>
      <c r="J15" s="602"/>
      <c r="K15" s="602"/>
      <c r="L15" s="602"/>
      <c r="M15" s="602"/>
      <c r="N15" s="602"/>
      <c r="O15" s="602"/>
      <c r="P15" s="602"/>
      <c r="Q15" s="602"/>
      <c r="R15" s="602"/>
    </row>
    <row r="16" spans="1:18" ht="12" customHeight="1">
      <c r="A16" s="617" t="s">
        <v>14</v>
      </c>
      <c r="B16" s="609"/>
      <c r="C16" s="601"/>
      <c r="D16" s="602"/>
      <c r="E16" s="602"/>
      <c r="F16" s="602"/>
      <c r="G16" s="602"/>
      <c r="H16" s="602"/>
      <c r="I16" s="602"/>
      <c r="J16" s="602"/>
      <c r="K16" s="602"/>
      <c r="L16" s="602"/>
      <c r="M16" s="602"/>
      <c r="N16" s="602"/>
      <c r="O16" s="602"/>
      <c r="P16" s="602"/>
      <c r="Q16" s="602"/>
      <c r="R16" s="602"/>
    </row>
    <row r="17" spans="1:18" ht="12" customHeight="1">
      <c r="A17" s="609"/>
      <c r="B17" s="601"/>
      <c r="C17" s="601"/>
      <c r="D17" s="602"/>
      <c r="E17" s="602"/>
      <c r="F17" s="602"/>
      <c r="G17" s="602"/>
      <c r="H17" s="602"/>
      <c r="I17" s="602"/>
      <c r="J17" s="602"/>
      <c r="K17" s="602"/>
      <c r="L17" s="602"/>
      <c r="M17" s="602"/>
      <c r="N17" s="602"/>
      <c r="O17" s="602"/>
      <c r="P17" s="602"/>
      <c r="Q17" s="602"/>
      <c r="R17" s="602"/>
    </row>
    <row r="18" spans="1:18" ht="12" customHeight="1">
      <c r="A18" s="616" t="s">
        <v>15</v>
      </c>
      <c r="B18" s="601"/>
      <c r="C18" s="601"/>
      <c r="D18" s="602"/>
      <c r="E18" s="602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2"/>
      <c r="Q18" s="602"/>
      <c r="R18" s="602"/>
    </row>
    <row r="19" spans="1:18" ht="12" customHeight="1">
      <c r="A19" s="617" t="s">
        <v>16</v>
      </c>
      <c r="B19" s="606" t="s">
        <v>11</v>
      </c>
      <c r="C19" s="617" t="s">
        <v>12</v>
      </c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</row>
    <row r="20" spans="1:18" ht="12" customHeight="1">
      <c r="A20" s="617" t="s">
        <v>1</v>
      </c>
      <c r="B20" s="609"/>
      <c r="C20" s="601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</row>
    <row r="21" spans="1:18" ht="12" customHeight="1">
      <c r="A21" s="617" t="s">
        <v>17</v>
      </c>
      <c r="B21" s="619"/>
      <c r="C21" s="620"/>
      <c r="D21" s="602"/>
      <c r="E21" s="602"/>
      <c r="F21" s="602"/>
      <c r="G21" s="602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602"/>
    </row>
    <row r="22" spans="1:18" ht="12" customHeight="1">
      <c r="A22" s="609"/>
      <c r="B22" s="601"/>
      <c r="C22" s="601"/>
      <c r="D22" s="602"/>
      <c r="E22" s="602"/>
      <c r="F22" s="602"/>
      <c r="G22" s="602"/>
      <c r="H22" s="602"/>
      <c r="I22" s="602"/>
      <c r="J22" s="602"/>
      <c r="K22" s="602"/>
      <c r="L22" s="602"/>
      <c r="M22" s="602"/>
      <c r="N22" s="602"/>
      <c r="O22" s="602"/>
      <c r="P22" s="602"/>
      <c r="Q22" s="602"/>
      <c r="R22" s="602"/>
    </row>
    <row r="23" spans="1:18" ht="12" customHeight="1">
      <c r="A23" s="609"/>
      <c r="B23" s="601"/>
      <c r="C23" s="601"/>
      <c r="D23" s="601"/>
      <c r="E23" s="601"/>
      <c r="F23" s="601"/>
      <c r="G23" s="601"/>
      <c r="H23" s="601"/>
      <c r="I23" s="601"/>
      <c r="J23" s="601"/>
      <c r="K23" s="602"/>
      <c r="L23" s="602"/>
      <c r="M23" s="602"/>
      <c r="N23" s="602"/>
      <c r="O23" s="602"/>
      <c r="P23" s="602"/>
      <c r="Q23" s="602"/>
      <c r="R23" s="602"/>
    </row>
    <row r="24" spans="1:18" ht="15.75" customHeight="1">
      <c r="A24" s="614" t="s">
        <v>18</v>
      </c>
      <c r="B24" s="615"/>
      <c r="C24" s="615"/>
      <c r="D24" s="615"/>
      <c r="E24" s="615"/>
      <c r="F24" s="615"/>
      <c r="G24" s="615"/>
      <c r="H24" s="615"/>
      <c r="I24" s="615"/>
      <c r="J24" s="615"/>
      <c r="K24" s="602"/>
      <c r="L24" s="602"/>
      <c r="M24" s="602"/>
      <c r="N24" s="602"/>
      <c r="O24" s="602"/>
      <c r="P24" s="602"/>
      <c r="Q24" s="602"/>
      <c r="R24" s="602"/>
    </row>
    <row r="25" spans="1:18" ht="12" customHeight="1">
      <c r="A25" s="609"/>
      <c r="B25" s="601"/>
      <c r="C25" s="601"/>
      <c r="D25" s="601"/>
      <c r="E25" s="601"/>
      <c r="F25" s="601"/>
      <c r="G25" s="601"/>
      <c r="H25" s="601"/>
      <c r="I25" s="601"/>
      <c r="J25" s="601"/>
      <c r="K25" s="602"/>
      <c r="L25" s="602"/>
      <c r="M25" s="602"/>
      <c r="N25" s="602"/>
      <c r="O25" s="602"/>
      <c r="P25" s="602"/>
      <c r="Q25" s="602"/>
      <c r="R25" s="602"/>
    </row>
    <row r="26" spans="1:18" ht="12" customHeight="1">
      <c r="A26" s="609"/>
      <c r="B26" s="601"/>
      <c r="C26" s="602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2"/>
      <c r="O26" s="602"/>
      <c r="P26" s="602"/>
      <c r="Q26" s="602"/>
      <c r="R26" s="602"/>
    </row>
    <row r="27" spans="1:18" ht="12" customHeight="1">
      <c r="A27" s="621" t="s">
        <v>19</v>
      </c>
      <c r="B27" s="601"/>
      <c r="C27" s="602"/>
      <c r="D27" s="602"/>
      <c r="E27" s="602"/>
      <c r="F27" s="602"/>
      <c r="G27" s="602"/>
      <c r="H27" s="602"/>
      <c r="I27" s="602"/>
      <c r="J27" s="602"/>
      <c r="K27" s="602"/>
      <c r="L27" s="602"/>
      <c r="M27" s="602"/>
      <c r="N27" s="602"/>
      <c r="O27" s="602"/>
      <c r="P27" s="602"/>
      <c r="Q27" s="602"/>
      <c r="R27" s="602"/>
    </row>
    <row r="28" spans="1:18" ht="12" customHeight="1">
      <c r="A28" s="617" t="s">
        <v>20</v>
      </c>
      <c r="B28" s="617" t="s">
        <v>21</v>
      </c>
      <c r="C28" s="602"/>
      <c r="D28" s="602"/>
      <c r="E28" s="602"/>
      <c r="F28" s="602"/>
      <c r="G28" s="602"/>
      <c r="H28" s="602"/>
      <c r="I28" s="602"/>
      <c r="J28" s="602"/>
      <c r="K28" s="602"/>
      <c r="L28" s="602"/>
      <c r="M28" s="602"/>
      <c r="N28" s="602"/>
      <c r="O28" s="602"/>
      <c r="P28" s="602"/>
      <c r="Q28" s="602"/>
      <c r="R28" s="602"/>
    </row>
    <row r="29" spans="1:18" ht="12" customHeight="1">
      <c r="A29" s="622" t="s">
        <v>22</v>
      </c>
      <c r="B29" s="623"/>
      <c r="C29" s="602"/>
      <c r="D29" s="602"/>
      <c r="E29" s="602"/>
      <c r="F29" s="602"/>
      <c r="G29" s="602"/>
      <c r="H29" s="602"/>
      <c r="I29" s="602"/>
      <c r="J29" s="602"/>
      <c r="K29" s="602"/>
      <c r="L29" s="602"/>
      <c r="M29" s="602"/>
      <c r="N29" s="602"/>
      <c r="O29" s="602"/>
      <c r="P29" s="602"/>
      <c r="Q29" s="602"/>
      <c r="R29" s="602"/>
    </row>
    <row r="30" spans="1:18" ht="12" customHeight="1">
      <c r="A30" s="609"/>
      <c r="B30" s="601"/>
      <c r="C30" s="601"/>
      <c r="D30" s="601"/>
      <c r="E30" s="602"/>
      <c r="F30" s="602"/>
      <c r="G30" s="602"/>
      <c r="H30" s="602"/>
      <c r="I30" s="602"/>
      <c r="J30" s="602"/>
      <c r="K30" s="602"/>
      <c r="L30" s="602"/>
      <c r="M30" s="602"/>
      <c r="N30" s="602"/>
      <c r="O30" s="602"/>
      <c r="P30" s="602"/>
      <c r="Q30" s="602"/>
      <c r="R30" s="602"/>
    </row>
    <row r="31" spans="1:18" ht="12" customHeight="1">
      <c r="A31" s="606" t="s">
        <v>23</v>
      </c>
      <c r="B31" s="617" t="s">
        <v>24</v>
      </c>
      <c r="C31" s="621" t="s">
        <v>25</v>
      </c>
      <c r="D31" s="624" t="s">
        <v>26</v>
      </c>
      <c r="E31" s="602"/>
      <c r="F31" s="602"/>
      <c r="G31" s="602"/>
      <c r="H31" s="602"/>
      <c r="I31" s="602"/>
      <c r="J31" s="602"/>
      <c r="K31" s="602"/>
      <c r="L31" s="602"/>
      <c r="M31" s="602"/>
      <c r="N31" s="602"/>
      <c r="O31" s="602"/>
      <c r="P31" s="602"/>
      <c r="Q31" s="602"/>
      <c r="R31" s="602"/>
    </row>
    <row r="32" spans="1:18" ht="11.25" customHeight="1">
      <c r="A32" s="621" t="s">
        <v>27</v>
      </c>
      <c r="B32" s="624" t="s">
        <v>28</v>
      </c>
      <c r="C32" s="619"/>
      <c r="D32" s="619"/>
      <c r="E32" s="602"/>
      <c r="F32" s="602"/>
      <c r="G32" s="602"/>
      <c r="H32" s="602"/>
      <c r="I32" s="602"/>
      <c r="J32" s="602"/>
      <c r="K32" s="602"/>
      <c r="L32" s="602"/>
      <c r="M32" s="602"/>
      <c r="N32" s="602"/>
      <c r="O32" s="602"/>
      <c r="P32" s="602"/>
      <c r="Q32" s="602"/>
      <c r="R32" s="602"/>
    </row>
    <row r="33" spans="1:18" ht="12" customHeight="1">
      <c r="A33" s="619"/>
      <c r="B33" s="619"/>
      <c r="C33" s="606" t="s">
        <v>29</v>
      </c>
      <c r="D33" s="625">
        <v>10</v>
      </c>
      <c r="E33" s="602"/>
      <c r="F33" s="602"/>
      <c r="G33" s="602"/>
      <c r="H33" s="602"/>
      <c r="I33" s="602"/>
      <c r="J33" s="602"/>
      <c r="K33" s="602"/>
      <c r="L33" s="602"/>
      <c r="M33" s="602"/>
      <c r="N33" s="602"/>
      <c r="O33" s="602"/>
      <c r="P33" s="602"/>
      <c r="Q33" s="602"/>
      <c r="R33" s="602"/>
    </row>
    <row r="34" spans="1:18" ht="12" customHeight="1">
      <c r="A34" s="606" t="s">
        <v>30</v>
      </c>
      <c r="B34" s="626">
        <v>37077</v>
      </c>
      <c r="C34" s="606" t="s">
        <v>31</v>
      </c>
      <c r="D34" s="617" t="s">
        <v>32</v>
      </c>
      <c r="E34" s="602"/>
      <c r="F34" s="602"/>
      <c r="G34" s="602"/>
      <c r="H34" s="602"/>
      <c r="I34" s="602"/>
      <c r="J34" s="602"/>
      <c r="K34" s="602"/>
      <c r="L34" s="602"/>
      <c r="M34" s="602"/>
      <c r="N34" s="602"/>
      <c r="O34" s="602"/>
      <c r="P34" s="602"/>
      <c r="Q34" s="602"/>
      <c r="R34" s="602"/>
    </row>
    <row r="35" spans="1:18" ht="12" customHeight="1">
      <c r="A35" s="609"/>
      <c r="B35" s="601"/>
      <c r="C35" s="606" t="s">
        <v>33</v>
      </c>
      <c r="D35" s="617" t="s">
        <v>34</v>
      </c>
      <c r="E35" s="602"/>
      <c r="F35" s="602"/>
      <c r="G35" s="602"/>
      <c r="H35" s="602"/>
      <c r="I35" s="602"/>
      <c r="J35" s="602"/>
      <c r="K35" s="602"/>
      <c r="L35" s="602"/>
      <c r="M35" s="602"/>
      <c r="N35" s="602"/>
      <c r="O35" s="602"/>
      <c r="P35" s="602"/>
      <c r="Q35" s="602"/>
      <c r="R35" s="602"/>
    </row>
    <row r="36" spans="1:18" ht="12" customHeight="1">
      <c r="A36" s="609"/>
      <c r="B36" s="601"/>
      <c r="C36" s="601"/>
      <c r="D36" s="601"/>
      <c r="E36" s="601"/>
      <c r="F36" s="601"/>
      <c r="G36" s="601"/>
      <c r="H36" s="601"/>
      <c r="I36" s="601"/>
      <c r="J36" s="601"/>
      <c r="K36" s="601"/>
      <c r="L36" s="602"/>
      <c r="M36" s="602"/>
      <c r="N36" s="602"/>
      <c r="O36" s="602"/>
      <c r="P36" s="602"/>
      <c r="Q36" s="602"/>
      <c r="R36" s="602"/>
    </row>
    <row r="37" spans="1:18" ht="12" customHeight="1">
      <c r="A37" s="609"/>
      <c r="B37" s="601"/>
      <c r="C37" s="601"/>
      <c r="D37" s="601"/>
      <c r="E37" s="601"/>
      <c r="F37" s="601"/>
      <c r="G37" s="601"/>
      <c r="H37" s="601"/>
      <c r="I37" s="601"/>
      <c r="J37" s="601"/>
      <c r="K37" s="602"/>
      <c r="L37" s="602"/>
      <c r="M37" s="602"/>
      <c r="N37" s="602"/>
      <c r="O37" s="602"/>
      <c r="P37" s="602"/>
      <c r="Q37" s="602"/>
      <c r="R37" s="602"/>
    </row>
    <row r="38" spans="1:18" ht="15.75" customHeight="1">
      <c r="A38" s="614" t="s">
        <v>35</v>
      </c>
      <c r="B38" s="615"/>
      <c r="C38" s="615"/>
      <c r="D38" s="615"/>
      <c r="E38" s="615"/>
      <c r="F38" s="615"/>
      <c r="G38" s="615"/>
      <c r="H38" s="615"/>
      <c r="I38" s="615"/>
      <c r="J38" s="615"/>
      <c r="K38" s="602"/>
      <c r="L38" s="602"/>
      <c r="M38" s="602"/>
      <c r="N38" s="602"/>
      <c r="O38" s="602"/>
      <c r="P38" s="602"/>
      <c r="Q38" s="602"/>
      <c r="R38" s="602"/>
    </row>
    <row r="39" spans="1:18" ht="12" customHeight="1">
      <c r="A39" s="609"/>
      <c r="B39" s="601"/>
      <c r="C39" s="601"/>
      <c r="D39" s="601"/>
      <c r="E39" s="601"/>
      <c r="F39" s="601"/>
      <c r="G39" s="601"/>
      <c r="H39" s="601"/>
      <c r="I39" s="601"/>
      <c r="J39" s="601"/>
      <c r="K39" s="602"/>
      <c r="L39" s="602"/>
      <c r="M39" s="602"/>
      <c r="N39" s="602"/>
      <c r="O39" s="602"/>
      <c r="P39" s="602"/>
      <c r="Q39" s="602"/>
      <c r="R39" s="602"/>
    </row>
    <row r="40" spans="1:18" ht="12" customHeight="1">
      <c r="A40" s="609"/>
      <c r="B40" s="601"/>
      <c r="C40" s="601"/>
      <c r="D40" s="601"/>
      <c r="E40" s="602"/>
      <c r="F40" s="602"/>
      <c r="G40" s="602"/>
      <c r="H40" s="602"/>
      <c r="I40" s="602"/>
      <c r="J40" s="602"/>
      <c r="K40" s="602"/>
      <c r="L40" s="602"/>
      <c r="M40" s="602"/>
      <c r="N40" s="602"/>
      <c r="O40" s="602"/>
      <c r="P40" s="602"/>
      <c r="Q40" s="602"/>
      <c r="R40" s="602"/>
    </row>
    <row r="41" spans="1:18" ht="12" customHeight="1">
      <c r="A41" s="606" t="s">
        <v>36</v>
      </c>
      <c r="B41" s="617" t="s">
        <v>37</v>
      </c>
      <c r="C41" s="621" t="s">
        <v>38</v>
      </c>
      <c r="D41" s="624" t="s">
        <v>39</v>
      </c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</row>
    <row r="42" spans="1:18" ht="11.25" customHeight="1">
      <c r="A42" s="621" t="s">
        <v>40</v>
      </c>
      <c r="B42" s="624" t="s">
        <v>41</v>
      </c>
      <c r="C42" s="619"/>
      <c r="D42" s="619"/>
      <c r="E42" s="602"/>
      <c r="F42" s="602"/>
      <c r="G42" s="602"/>
      <c r="H42" s="602"/>
      <c r="I42" s="602"/>
      <c r="J42" s="602"/>
      <c r="K42" s="602"/>
      <c r="L42" s="602"/>
      <c r="M42" s="602"/>
      <c r="N42" s="602"/>
      <c r="O42" s="602"/>
      <c r="P42" s="602"/>
      <c r="Q42" s="602"/>
      <c r="R42" s="602"/>
    </row>
    <row r="43" spans="1:18" ht="0.75" customHeight="1">
      <c r="A43" s="619"/>
      <c r="B43" s="619"/>
      <c r="C43" s="621" t="s">
        <v>42</v>
      </c>
      <c r="D43" s="627">
        <v>7</v>
      </c>
      <c r="E43" s="602"/>
      <c r="F43" s="602"/>
      <c r="G43" s="602"/>
      <c r="H43" s="602"/>
      <c r="I43" s="602"/>
      <c r="J43" s="602"/>
      <c r="K43" s="602"/>
      <c r="L43" s="602"/>
      <c r="M43" s="602"/>
      <c r="N43" s="602"/>
      <c r="O43" s="602"/>
      <c r="P43" s="602"/>
      <c r="Q43" s="602"/>
      <c r="R43" s="602"/>
    </row>
    <row r="44" spans="1:18" ht="12" customHeight="1">
      <c r="A44" s="606" t="s">
        <v>43</v>
      </c>
      <c r="B44" s="617" t="s">
        <v>44</v>
      </c>
      <c r="C44" s="619"/>
      <c r="D44" s="619"/>
      <c r="E44" s="602"/>
      <c r="F44" s="602"/>
      <c r="G44" s="602"/>
      <c r="H44" s="602"/>
      <c r="I44" s="602"/>
      <c r="J44" s="602"/>
      <c r="K44" s="602"/>
      <c r="L44" s="602"/>
      <c r="M44" s="602"/>
      <c r="N44" s="602"/>
      <c r="O44" s="602"/>
      <c r="P44" s="602"/>
      <c r="Q44" s="602"/>
      <c r="R44" s="602"/>
    </row>
    <row r="45" spans="1:18" ht="9.75" customHeight="1">
      <c r="A45" s="621" t="s">
        <v>45</v>
      </c>
      <c r="B45" s="624" t="s">
        <v>46</v>
      </c>
      <c r="C45" s="619"/>
      <c r="D45" s="619"/>
      <c r="E45" s="602"/>
      <c r="F45" s="602"/>
      <c r="G45" s="602"/>
      <c r="H45" s="602"/>
      <c r="I45" s="602"/>
      <c r="J45" s="602"/>
      <c r="K45" s="602"/>
      <c r="L45" s="602"/>
      <c r="M45" s="602"/>
      <c r="N45" s="602"/>
      <c r="O45" s="602"/>
      <c r="P45" s="602"/>
      <c r="Q45" s="602"/>
      <c r="R45" s="602"/>
    </row>
    <row r="46" spans="1:18" ht="2.25" customHeight="1">
      <c r="A46" s="619"/>
      <c r="B46" s="619"/>
      <c r="C46" s="621" t="s">
        <v>47</v>
      </c>
      <c r="D46" s="627">
        <v>4</v>
      </c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2"/>
      <c r="P46" s="602"/>
      <c r="Q46" s="602"/>
      <c r="R46" s="602"/>
    </row>
    <row r="47" spans="1:18" ht="12" customHeight="1">
      <c r="A47" s="606" t="s">
        <v>48</v>
      </c>
      <c r="B47" s="617" t="s">
        <v>49</v>
      </c>
      <c r="C47" s="619"/>
      <c r="D47" s="619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2"/>
      <c r="P47" s="602"/>
      <c r="Q47" s="602"/>
      <c r="R47" s="602"/>
    </row>
    <row r="48" spans="1:18" ht="9" customHeight="1">
      <c r="A48" s="609"/>
      <c r="B48" s="601"/>
      <c r="C48" s="619"/>
      <c r="D48" s="619"/>
      <c r="E48" s="602"/>
      <c r="F48" s="602"/>
      <c r="G48" s="602"/>
      <c r="H48" s="602"/>
      <c r="I48" s="602"/>
      <c r="J48" s="602"/>
      <c r="K48" s="602"/>
      <c r="L48" s="602"/>
      <c r="M48" s="602"/>
      <c r="N48" s="602"/>
      <c r="O48" s="602"/>
      <c r="P48" s="602"/>
      <c r="Q48" s="602"/>
      <c r="R48" s="602"/>
    </row>
    <row r="49" spans="1:18" ht="23.25" customHeight="1">
      <c r="A49" s="619"/>
      <c r="B49" s="620"/>
      <c r="C49" s="606" t="s">
        <v>50</v>
      </c>
      <c r="D49" s="628">
        <v>2</v>
      </c>
      <c r="E49" s="602"/>
      <c r="F49" s="602"/>
      <c r="G49" s="602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602"/>
    </row>
    <row r="50" spans="1:18" ht="12" customHeight="1">
      <c r="A50" s="609"/>
      <c r="B50" s="601"/>
      <c r="C50" s="601"/>
      <c r="D50" s="601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</row>
    <row r="51" spans="1:18" ht="12" customHeight="1">
      <c r="A51" s="606" t="s">
        <v>51</v>
      </c>
      <c r="B51" s="624" t="s">
        <v>52</v>
      </c>
      <c r="C51" s="601"/>
      <c r="D51" s="601"/>
      <c r="E51" s="602"/>
      <c r="F51" s="602"/>
      <c r="G51" s="602"/>
      <c r="H51" s="602"/>
      <c r="I51" s="602"/>
      <c r="J51" s="602"/>
      <c r="K51" s="602"/>
      <c r="L51" s="602"/>
      <c r="M51" s="602"/>
      <c r="N51" s="602"/>
      <c r="O51" s="602"/>
      <c r="P51" s="602"/>
      <c r="Q51" s="602"/>
      <c r="R51" s="602"/>
    </row>
    <row r="52" spans="1:18" ht="12" customHeight="1">
      <c r="A52" s="609"/>
      <c r="B52" s="601"/>
      <c r="C52" s="601"/>
      <c r="D52" s="601"/>
      <c r="E52" s="602"/>
      <c r="F52" s="602"/>
      <c r="G52" s="602"/>
      <c r="H52" s="602"/>
      <c r="I52" s="602"/>
      <c r="J52" s="602"/>
      <c r="K52" s="602"/>
      <c r="L52" s="602"/>
      <c r="M52" s="602"/>
      <c r="N52" s="602"/>
      <c r="O52" s="602"/>
      <c r="P52" s="602"/>
      <c r="Q52" s="602"/>
      <c r="R52" s="602"/>
    </row>
    <row r="53" spans="1:18" ht="12" customHeight="1">
      <c r="A53" s="609"/>
      <c r="B53" s="601"/>
      <c r="C53" s="601"/>
      <c r="D53" s="601"/>
      <c r="E53" s="601"/>
      <c r="F53" s="601"/>
      <c r="G53" s="601"/>
      <c r="H53" s="601"/>
      <c r="I53" s="601"/>
      <c r="J53" s="601"/>
      <c r="K53" s="602"/>
      <c r="L53" s="602"/>
      <c r="M53" s="602"/>
      <c r="N53" s="602"/>
      <c r="O53" s="602"/>
      <c r="P53" s="602"/>
      <c r="Q53" s="602"/>
      <c r="R53" s="602"/>
    </row>
    <row r="54" spans="1:18" ht="15.75" customHeight="1">
      <c r="A54" s="614" t="s">
        <v>53</v>
      </c>
      <c r="B54" s="615"/>
      <c r="C54" s="615"/>
      <c r="D54" s="615"/>
      <c r="E54" s="615"/>
      <c r="F54" s="615"/>
      <c r="G54" s="615"/>
      <c r="H54" s="615"/>
      <c r="I54" s="615"/>
      <c r="J54" s="615"/>
      <c r="K54" s="602"/>
      <c r="L54" s="602"/>
      <c r="M54" s="602"/>
      <c r="N54" s="602"/>
      <c r="O54" s="602"/>
      <c r="P54" s="602"/>
      <c r="Q54" s="602"/>
      <c r="R54" s="602"/>
    </row>
    <row r="55" spans="1:18" ht="12" customHeight="1">
      <c r="A55" s="609"/>
      <c r="B55" s="601"/>
      <c r="C55" s="601"/>
      <c r="D55" s="601"/>
      <c r="E55" s="601"/>
      <c r="F55" s="601"/>
      <c r="G55" s="601"/>
      <c r="H55" s="601"/>
      <c r="I55" s="601"/>
      <c r="J55" s="601"/>
      <c r="K55" s="602"/>
      <c r="L55" s="602"/>
      <c r="M55" s="602"/>
      <c r="N55" s="602"/>
      <c r="O55" s="602"/>
      <c r="P55" s="602"/>
      <c r="Q55" s="602"/>
      <c r="R55" s="602"/>
    </row>
    <row r="56" spans="1:18" ht="12" customHeight="1">
      <c r="A56" s="609"/>
      <c r="B56" s="601"/>
      <c r="C56" s="601"/>
      <c r="D56" s="601"/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2"/>
      <c r="P56" s="602"/>
      <c r="Q56" s="602"/>
      <c r="R56" s="602"/>
    </row>
    <row r="57" spans="1:18" ht="23.25" customHeight="1">
      <c r="A57" s="606" t="s">
        <v>54</v>
      </c>
      <c r="B57" s="624" t="s">
        <v>55</v>
      </c>
      <c r="C57" s="601"/>
      <c r="D57" s="601"/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</row>
    <row r="58" spans="1:18" ht="12" customHeight="1">
      <c r="A58" s="609"/>
      <c r="B58" s="601"/>
      <c r="C58" s="601"/>
      <c r="D58" s="601"/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</row>
    <row r="59" spans="1:18" ht="12" customHeight="1">
      <c r="A59" s="606" t="s">
        <v>56</v>
      </c>
      <c r="B59" s="624" t="s">
        <v>57</v>
      </c>
      <c r="C59" s="601"/>
      <c r="D59" s="601"/>
      <c r="E59" s="602"/>
      <c r="F59" s="602"/>
      <c r="G59" s="602"/>
      <c r="H59" s="602"/>
      <c r="I59" s="602"/>
      <c r="J59" s="602"/>
      <c r="K59" s="602"/>
      <c r="L59" s="602"/>
      <c r="M59" s="602"/>
      <c r="N59" s="602"/>
      <c r="O59" s="602"/>
      <c r="P59" s="602"/>
      <c r="Q59" s="602"/>
      <c r="R59" s="602"/>
    </row>
    <row r="60" spans="1:18" ht="12" customHeight="1">
      <c r="A60" s="609"/>
      <c r="B60" s="601"/>
      <c r="C60" s="601"/>
      <c r="D60" s="601"/>
      <c r="E60" s="602"/>
      <c r="F60" s="602"/>
      <c r="G60" s="602"/>
      <c r="H60" s="602"/>
      <c r="I60" s="602"/>
      <c r="J60" s="602"/>
      <c r="K60" s="602"/>
      <c r="L60" s="602"/>
      <c r="M60" s="602"/>
      <c r="N60" s="602"/>
      <c r="O60" s="602"/>
      <c r="P60" s="602"/>
      <c r="Q60" s="602"/>
      <c r="R60" s="602"/>
    </row>
    <row r="61" spans="1:18" ht="12" customHeight="1">
      <c r="A61" s="606" t="s">
        <v>58</v>
      </c>
      <c r="B61" s="624" t="s">
        <v>59</v>
      </c>
      <c r="C61" s="601"/>
      <c r="D61" s="601"/>
      <c r="E61" s="602"/>
      <c r="F61" s="602"/>
      <c r="G61" s="602"/>
      <c r="H61" s="602"/>
      <c r="I61" s="602"/>
      <c r="J61" s="602"/>
      <c r="K61" s="602"/>
      <c r="L61" s="602"/>
      <c r="M61" s="602"/>
      <c r="N61" s="602"/>
      <c r="O61" s="602"/>
      <c r="P61" s="602"/>
      <c r="Q61" s="602"/>
      <c r="R61" s="602"/>
    </row>
    <row r="62" spans="1:18" ht="12" customHeight="1">
      <c r="A62" s="609"/>
      <c r="B62" s="601"/>
      <c r="C62" s="601"/>
      <c r="D62" s="601"/>
      <c r="E62" s="602"/>
      <c r="F62" s="602"/>
      <c r="G62" s="602"/>
      <c r="H62" s="602"/>
      <c r="I62" s="602"/>
      <c r="J62" s="602"/>
      <c r="K62" s="602"/>
      <c r="L62" s="602"/>
      <c r="M62" s="602"/>
      <c r="N62" s="602"/>
      <c r="O62" s="602"/>
      <c r="P62" s="602"/>
      <c r="Q62" s="602"/>
      <c r="R62" s="602"/>
    </row>
    <row r="63" spans="1:18" ht="12" customHeight="1">
      <c r="A63" s="606" t="s">
        <v>60</v>
      </c>
      <c r="B63" s="624" t="s">
        <v>61</v>
      </c>
      <c r="C63" s="601"/>
      <c r="D63" s="601"/>
      <c r="E63" s="602"/>
      <c r="F63" s="602"/>
      <c r="G63" s="602"/>
      <c r="H63" s="602"/>
      <c r="I63" s="602"/>
      <c r="J63" s="602"/>
      <c r="K63" s="602"/>
      <c r="L63" s="602"/>
      <c r="M63" s="602"/>
      <c r="N63" s="602"/>
      <c r="O63" s="602"/>
      <c r="P63" s="602"/>
      <c r="Q63" s="602"/>
      <c r="R63" s="602"/>
    </row>
    <row r="64" spans="1:18" ht="12" customHeight="1">
      <c r="A64" s="609"/>
      <c r="B64" s="601"/>
      <c r="C64" s="601"/>
      <c r="D64" s="601"/>
      <c r="E64" s="602"/>
      <c r="F64" s="602"/>
      <c r="G64" s="602"/>
      <c r="H64" s="602"/>
      <c r="I64" s="602"/>
      <c r="J64" s="602"/>
      <c r="K64" s="602"/>
      <c r="L64" s="602"/>
      <c r="M64" s="602"/>
      <c r="N64" s="602"/>
      <c r="O64" s="602"/>
      <c r="P64" s="602"/>
      <c r="Q64" s="602"/>
      <c r="R64" s="602"/>
    </row>
    <row r="65" spans="1:18" ht="12" customHeight="1">
      <c r="A65" s="609"/>
      <c r="B65" s="601"/>
      <c r="C65" s="601"/>
      <c r="D65" s="601"/>
      <c r="E65" s="601"/>
      <c r="F65" s="601"/>
      <c r="G65" s="601"/>
      <c r="H65" s="601"/>
      <c r="I65" s="601"/>
      <c r="J65" s="601"/>
      <c r="K65" s="602"/>
      <c r="L65" s="602"/>
      <c r="M65" s="602"/>
      <c r="N65" s="602"/>
      <c r="O65" s="602"/>
      <c r="P65" s="602"/>
      <c r="Q65" s="602"/>
      <c r="R65" s="602"/>
    </row>
    <row r="66" spans="1:18" ht="15.75" customHeight="1">
      <c r="A66" s="614" t="s">
        <v>62</v>
      </c>
      <c r="B66" s="615"/>
      <c r="C66" s="615"/>
      <c r="D66" s="615"/>
      <c r="E66" s="615"/>
      <c r="F66" s="615"/>
      <c r="G66" s="615"/>
      <c r="H66" s="615"/>
      <c r="I66" s="615"/>
      <c r="J66" s="615"/>
      <c r="K66" s="602"/>
      <c r="L66" s="602"/>
      <c r="M66" s="602"/>
      <c r="N66" s="602"/>
      <c r="O66" s="602"/>
      <c r="P66" s="602"/>
      <c r="Q66" s="602"/>
      <c r="R66" s="602"/>
    </row>
    <row r="67" spans="1:18" ht="12" customHeight="1">
      <c r="A67" s="609"/>
      <c r="B67" s="601"/>
      <c r="C67" s="601"/>
      <c r="D67" s="601"/>
      <c r="E67" s="601"/>
      <c r="F67" s="601"/>
      <c r="G67" s="601"/>
      <c r="H67" s="601"/>
      <c r="I67" s="601"/>
      <c r="J67" s="601"/>
      <c r="K67" s="602"/>
      <c r="L67" s="602"/>
      <c r="M67" s="602"/>
      <c r="N67" s="602"/>
      <c r="O67" s="602"/>
      <c r="P67" s="602"/>
      <c r="Q67" s="602"/>
      <c r="R67" s="602"/>
    </row>
    <row r="68" spans="1:18" ht="12" customHeight="1">
      <c r="A68" s="609"/>
      <c r="B68" s="601"/>
      <c r="C68" s="602"/>
      <c r="D68" s="602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</row>
    <row r="69" spans="1:18" ht="12" customHeight="1">
      <c r="A69" s="606" t="s">
        <v>63</v>
      </c>
      <c r="B69" s="629" t="s">
        <v>64</v>
      </c>
      <c r="C69" s="602"/>
      <c r="D69" s="602"/>
      <c r="E69" s="602"/>
      <c r="F69" s="602"/>
      <c r="G69" s="602"/>
      <c r="H69" s="602"/>
      <c r="I69" s="602"/>
      <c r="J69" s="602"/>
      <c r="K69" s="602"/>
      <c r="L69" s="602"/>
      <c r="M69" s="602"/>
      <c r="N69" s="602"/>
      <c r="O69" s="602"/>
      <c r="P69" s="602"/>
      <c r="Q69" s="602"/>
      <c r="R69" s="602"/>
    </row>
    <row r="70" spans="1:18" ht="23.25" customHeight="1">
      <c r="A70" s="606" t="s">
        <v>65</v>
      </c>
      <c r="B70" s="629" t="s">
        <v>66</v>
      </c>
      <c r="C70" s="602"/>
      <c r="D70" s="602"/>
      <c r="E70" s="602"/>
      <c r="F70" s="602"/>
      <c r="G70" s="602"/>
      <c r="H70" s="602"/>
      <c r="I70" s="602"/>
      <c r="J70" s="602"/>
      <c r="K70" s="602"/>
      <c r="L70" s="602"/>
      <c r="M70" s="602"/>
      <c r="N70" s="602"/>
      <c r="O70" s="602"/>
      <c r="P70" s="602"/>
      <c r="Q70" s="602"/>
      <c r="R70" s="602"/>
    </row>
    <row r="71" spans="1:18" ht="12" customHeight="1">
      <c r="A71" s="606" t="s">
        <v>67</v>
      </c>
      <c r="B71" s="629" t="s">
        <v>68</v>
      </c>
      <c r="C71" s="602"/>
      <c r="D71" s="602"/>
      <c r="E71" s="602"/>
      <c r="F71" s="602"/>
      <c r="G71" s="602"/>
      <c r="H71" s="602"/>
      <c r="I71" s="602"/>
      <c r="J71" s="602"/>
      <c r="K71" s="602"/>
      <c r="L71" s="602"/>
      <c r="M71" s="602"/>
      <c r="N71" s="602"/>
      <c r="O71" s="602"/>
      <c r="P71" s="602"/>
      <c r="Q71" s="602"/>
      <c r="R71" s="602"/>
    </row>
    <row r="72" spans="1:18" ht="12" customHeight="1">
      <c r="A72" s="609"/>
      <c r="B72" s="601"/>
      <c r="C72" s="602"/>
      <c r="D72" s="602"/>
      <c r="E72" s="602"/>
      <c r="F72" s="602"/>
      <c r="G72" s="602"/>
      <c r="H72" s="602"/>
      <c r="I72" s="602"/>
      <c r="J72" s="602"/>
      <c r="K72" s="602"/>
      <c r="L72" s="602"/>
      <c r="M72" s="602"/>
      <c r="N72" s="602"/>
      <c r="O72" s="602"/>
      <c r="P72" s="602"/>
      <c r="Q72" s="602"/>
      <c r="R72" s="602"/>
    </row>
    <row r="73" spans="1:18" ht="12" customHeight="1">
      <c r="A73" s="599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2"/>
      <c r="P73" s="602"/>
      <c r="Q73" s="602"/>
      <c r="R73" s="602"/>
    </row>
    <row r="74" spans="1:18" ht="15.75" customHeight="1">
      <c r="A74" s="614" t="s">
        <v>69</v>
      </c>
      <c r="B74" s="615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2"/>
      <c r="P74" s="602"/>
      <c r="Q74" s="602"/>
      <c r="R74" s="602"/>
    </row>
    <row r="75" spans="1:18" ht="12" customHeight="1">
      <c r="A75" s="599"/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</row>
    <row r="76" spans="1:18" ht="23.25" customHeight="1">
      <c r="A76" s="630"/>
      <c r="B76" s="631" t="s">
        <v>32</v>
      </c>
      <c r="C76" s="632" t="s">
        <v>70</v>
      </c>
      <c r="D76" s="632" t="s">
        <v>71</v>
      </c>
      <c r="E76" s="632" t="s">
        <v>72</v>
      </c>
      <c r="F76" s="632" t="s">
        <v>73</v>
      </c>
      <c r="G76" s="632" t="s">
        <v>74</v>
      </c>
      <c r="H76" s="632" t="s">
        <v>75</v>
      </c>
      <c r="I76" s="632" t="s">
        <v>76</v>
      </c>
      <c r="J76" s="632" t="s">
        <v>77</v>
      </c>
      <c r="K76" s="632" t="s">
        <v>78</v>
      </c>
      <c r="L76" s="632" t="s">
        <v>79</v>
      </c>
      <c r="M76" s="602"/>
      <c r="N76" s="602"/>
      <c r="O76" s="602"/>
      <c r="P76" s="602"/>
      <c r="Q76" s="602"/>
      <c r="R76" s="602"/>
    </row>
    <row r="77" spans="1:18" ht="34.5" customHeight="1">
      <c r="A77" s="633"/>
      <c r="B77" s="634"/>
      <c r="C77" s="635" t="s">
        <v>80</v>
      </c>
      <c r="D77" s="635" t="s">
        <v>80</v>
      </c>
      <c r="E77" s="635" t="s">
        <v>80</v>
      </c>
      <c r="F77" s="635" t="s">
        <v>80</v>
      </c>
      <c r="G77" s="635" t="s">
        <v>80</v>
      </c>
      <c r="H77" s="635" t="s">
        <v>80</v>
      </c>
      <c r="I77" s="635" t="s">
        <v>80</v>
      </c>
      <c r="J77" s="635" t="s">
        <v>81</v>
      </c>
      <c r="K77" s="635" t="s">
        <v>81</v>
      </c>
      <c r="L77" s="635" t="s">
        <v>81</v>
      </c>
      <c r="M77" s="602"/>
      <c r="N77" s="602"/>
      <c r="O77" s="602"/>
      <c r="P77" s="602"/>
      <c r="Q77" s="602"/>
      <c r="R77" s="602"/>
    </row>
    <row r="78" spans="1:18" ht="12" customHeight="1">
      <c r="A78" s="633"/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02"/>
      <c r="N78" s="602"/>
      <c r="O78" s="602"/>
      <c r="P78" s="602"/>
      <c r="Q78" s="602"/>
      <c r="R78" s="602"/>
    </row>
    <row r="79" spans="1:18" ht="12" customHeight="1">
      <c r="A79" s="633"/>
      <c r="B79" s="636" t="s">
        <v>82</v>
      </c>
      <c r="C79" s="637">
        <v>14885328</v>
      </c>
      <c r="D79" s="637">
        <v>14294364</v>
      </c>
      <c r="E79" s="637">
        <v>13782014</v>
      </c>
      <c r="F79" s="637">
        <v>11619465</v>
      </c>
      <c r="G79" s="637">
        <v>8552816</v>
      </c>
      <c r="H79" s="637">
        <v>9712939</v>
      </c>
      <c r="I79" s="637">
        <v>10220941</v>
      </c>
      <c r="J79" s="637">
        <v>8912701</v>
      </c>
      <c r="K79" s="637">
        <v>7807091</v>
      </c>
      <c r="L79" s="637">
        <v>6287625</v>
      </c>
      <c r="M79" s="602"/>
      <c r="N79" s="602"/>
      <c r="O79" s="602"/>
      <c r="P79" s="602"/>
      <c r="Q79" s="602"/>
      <c r="R79" s="602"/>
    </row>
    <row r="80" spans="1:18" ht="12" customHeight="1">
      <c r="A80" s="633"/>
      <c r="B80" s="636" t="s">
        <v>83</v>
      </c>
      <c r="C80" s="637">
        <v>1062376</v>
      </c>
      <c r="D80" s="637">
        <v>1513067</v>
      </c>
      <c r="E80" s="637">
        <v>1608701</v>
      </c>
      <c r="F80" s="637">
        <v>1473280</v>
      </c>
      <c r="G80" s="637">
        <v>889518</v>
      </c>
      <c r="H80" s="637">
        <v>701754</v>
      </c>
      <c r="I80" s="637">
        <v>595594</v>
      </c>
      <c r="J80" s="637">
        <v>670640</v>
      </c>
      <c r="K80" s="637">
        <v>532113</v>
      </c>
      <c r="L80" s="637">
        <v>445108</v>
      </c>
      <c r="M80" s="602"/>
      <c r="N80" s="602"/>
      <c r="O80" s="602"/>
      <c r="P80" s="602"/>
      <c r="Q80" s="602"/>
      <c r="R80" s="602"/>
    </row>
    <row r="81" spans="1:18" ht="12" customHeight="1">
      <c r="A81" s="633"/>
      <c r="B81" s="636" t="s">
        <v>84</v>
      </c>
      <c r="C81" s="637">
        <v>160035</v>
      </c>
      <c r="D81" s="637">
        <v>672289</v>
      </c>
      <c r="E81" s="637">
        <v>776780</v>
      </c>
      <c r="F81" s="637">
        <v>513808</v>
      </c>
      <c r="G81" s="637">
        <v>304750</v>
      </c>
      <c r="H81" s="637">
        <v>19704</v>
      </c>
      <c r="I81" s="637">
        <v>209448</v>
      </c>
      <c r="J81" s="637">
        <v>256820</v>
      </c>
      <c r="K81" s="637">
        <v>164166</v>
      </c>
      <c r="L81" s="637">
        <v>124157</v>
      </c>
      <c r="M81" s="602"/>
      <c r="N81" s="602"/>
      <c r="O81" s="602"/>
      <c r="P81" s="602"/>
      <c r="Q81" s="602"/>
      <c r="R81" s="602"/>
    </row>
    <row r="82" spans="1:18" ht="12" customHeight="1">
      <c r="A82" s="633"/>
      <c r="B82" s="636" t="s">
        <v>85</v>
      </c>
      <c r="C82" s="637">
        <v>12930506</v>
      </c>
      <c r="D82" s="637">
        <v>11990730</v>
      </c>
      <c r="E82" s="637">
        <v>10877098</v>
      </c>
      <c r="F82" s="637">
        <v>8985482</v>
      </c>
      <c r="G82" s="637">
        <v>7250567</v>
      </c>
      <c r="H82" s="637">
        <v>6831833</v>
      </c>
      <c r="I82" s="637">
        <v>7194117</v>
      </c>
      <c r="J82" s="637">
        <v>5269792</v>
      </c>
      <c r="K82" s="637">
        <v>4342288</v>
      </c>
      <c r="L82" s="637">
        <v>4392744</v>
      </c>
      <c r="M82" s="602"/>
      <c r="N82" s="602"/>
      <c r="O82" s="602"/>
      <c r="P82" s="602"/>
      <c r="Q82" s="602"/>
      <c r="R82" s="602"/>
    </row>
    <row r="83" spans="1:18" ht="12" customHeight="1">
      <c r="A83" s="633"/>
      <c r="B83" s="636" t="s">
        <v>86</v>
      </c>
      <c r="C83" s="637">
        <v>3089801</v>
      </c>
      <c r="D83" s="637">
        <v>2929765</v>
      </c>
      <c r="E83" s="637">
        <v>2257478</v>
      </c>
      <c r="F83" s="637">
        <v>1480696</v>
      </c>
      <c r="G83" s="637">
        <v>966890</v>
      </c>
      <c r="H83" s="637">
        <v>662137</v>
      </c>
      <c r="I83" s="637">
        <v>642433</v>
      </c>
      <c r="J83" s="637">
        <v>432985</v>
      </c>
      <c r="K83" s="637">
        <v>176166</v>
      </c>
      <c r="L83" s="637">
        <v>320323</v>
      </c>
      <c r="M83" s="602"/>
      <c r="N83" s="602"/>
      <c r="O83" s="602"/>
      <c r="P83" s="602"/>
      <c r="Q83" s="602"/>
      <c r="R83" s="602"/>
    </row>
    <row r="84" spans="1:18" ht="12" customHeight="1">
      <c r="A84" s="633"/>
      <c r="B84" s="636" t="s">
        <v>87</v>
      </c>
      <c r="C84" s="638">
        <v>5455097</v>
      </c>
      <c r="D84" s="638">
        <v>5886637</v>
      </c>
      <c r="E84" s="638">
        <v>4714792</v>
      </c>
      <c r="F84" s="638">
        <v>4399459</v>
      </c>
      <c r="G84" s="638">
        <v>2565050</v>
      </c>
      <c r="H84" s="638">
        <v>2849112</v>
      </c>
      <c r="I84" s="638">
        <v>3938981</v>
      </c>
      <c r="J84" s="638">
        <v>1176954</v>
      </c>
      <c r="K84" s="638">
        <v>749968</v>
      </c>
      <c r="L84" s="638">
        <v>862739</v>
      </c>
      <c r="M84" s="602"/>
      <c r="N84" s="602"/>
      <c r="O84" s="602"/>
      <c r="P84" s="602"/>
      <c r="Q84" s="602"/>
      <c r="R84" s="602"/>
    </row>
    <row r="85" spans="1:18" ht="12" customHeight="1">
      <c r="A85" s="633"/>
      <c r="B85" s="634"/>
      <c r="C85" s="634"/>
      <c r="D85" s="634"/>
      <c r="E85" s="634"/>
      <c r="F85" s="634"/>
      <c r="G85" s="634"/>
      <c r="H85" s="634"/>
      <c r="I85" s="634"/>
      <c r="J85" s="634"/>
      <c r="K85" s="634"/>
      <c r="L85" s="634"/>
      <c r="M85" s="602"/>
      <c r="N85" s="602"/>
      <c r="O85" s="602"/>
      <c r="P85" s="602"/>
      <c r="Q85" s="602"/>
      <c r="R85" s="602"/>
    </row>
    <row r="86" spans="1:18" ht="12" customHeight="1">
      <c r="A86" s="633"/>
      <c r="B86" s="636" t="s">
        <v>88</v>
      </c>
      <c r="C86" s="638">
        <v>6.9</v>
      </c>
      <c r="D86" s="638">
        <v>10.119999999999999</v>
      </c>
      <c r="E86" s="638">
        <v>11.12</v>
      </c>
      <c r="F86" s="638">
        <v>11.639999999999999</v>
      </c>
      <c r="G86" s="638">
        <v>9.6199999999999992</v>
      </c>
      <c r="H86" s="638">
        <v>6.64</v>
      </c>
      <c r="I86" s="638">
        <v>5.59</v>
      </c>
      <c r="J86" s="638">
        <v>7.24</v>
      </c>
      <c r="K86" s="638">
        <v>6.57</v>
      </c>
      <c r="L86" s="638">
        <v>6.83</v>
      </c>
      <c r="M86" s="602"/>
      <c r="N86" s="602"/>
      <c r="O86" s="602"/>
      <c r="P86" s="602"/>
      <c r="Q86" s="602"/>
      <c r="R86" s="602"/>
    </row>
    <row r="87" spans="1:18" ht="12" customHeight="1">
      <c r="A87" s="633"/>
      <c r="B87" s="636" t="s">
        <v>89</v>
      </c>
      <c r="C87" s="638">
        <v>3.56</v>
      </c>
      <c r="D87" s="638">
        <v>7.4</v>
      </c>
      <c r="E87" s="638">
        <v>8.68</v>
      </c>
      <c r="F87" s="638">
        <v>7.02</v>
      </c>
      <c r="G87" s="638">
        <v>5.92</v>
      </c>
      <c r="H87" s="638">
        <v>2.92</v>
      </c>
      <c r="I87" s="638">
        <v>4.5599999999999996</v>
      </c>
      <c r="J87" s="638">
        <v>5.89</v>
      </c>
      <c r="K87" s="638">
        <v>5.4300000000000006</v>
      </c>
      <c r="L87" s="638">
        <v>5.49</v>
      </c>
      <c r="M87" s="602"/>
      <c r="N87" s="602"/>
      <c r="O87" s="602"/>
      <c r="P87" s="602"/>
      <c r="Q87" s="602"/>
      <c r="R87" s="602"/>
    </row>
    <row r="88" spans="1:18" ht="12" customHeight="1">
      <c r="A88" s="633"/>
      <c r="B88" s="636" t="s">
        <v>90</v>
      </c>
      <c r="C88" s="638">
        <v>4.24</v>
      </c>
      <c r="D88" s="638">
        <v>9.2299999999999986</v>
      </c>
      <c r="E88" s="638">
        <v>11.54</v>
      </c>
      <c r="F88" s="638">
        <v>9.89</v>
      </c>
      <c r="G88" s="638">
        <v>7.54</v>
      </c>
      <c r="H88" s="638">
        <v>4.5199999999999996</v>
      </c>
      <c r="I88" s="638">
        <v>6.75</v>
      </c>
      <c r="J88" s="638">
        <v>10.350000000000001</v>
      </c>
      <c r="K88" s="638">
        <v>10.119999999999999</v>
      </c>
      <c r="L88" s="638">
        <v>8.15</v>
      </c>
      <c r="M88" s="602"/>
      <c r="N88" s="602"/>
      <c r="O88" s="602"/>
      <c r="P88" s="602"/>
      <c r="Q88" s="602"/>
      <c r="R88" s="602"/>
    </row>
    <row r="89" spans="1:18" ht="12" customHeight="1">
      <c r="A89" s="633"/>
      <c r="B89" s="636" t="s">
        <v>91</v>
      </c>
      <c r="C89" s="638">
        <v>5.18</v>
      </c>
      <c r="D89" s="638">
        <v>22.95</v>
      </c>
      <c r="E89" s="638">
        <v>34.409999999999997</v>
      </c>
      <c r="F89" s="638">
        <v>34.700000000000003</v>
      </c>
      <c r="G89" s="638">
        <v>31.52</v>
      </c>
      <c r="H89" s="638">
        <v>2.98</v>
      </c>
      <c r="I89" s="638">
        <v>32.6</v>
      </c>
      <c r="J89" s="638">
        <v>59.309999999999995</v>
      </c>
      <c r="K89" s="638">
        <v>93.19</v>
      </c>
      <c r="L89" s="638">
        <v>38.760000000000005</v>
      </c>
      <c r="M89" s="602"/>
      <c r="N89" s="602"/>
      <c r="O89" s="602"/>
      <c r="P89" s="602"/>
      <c r="Q89" s="602"/>
      <c r="R89" s="602"/>
    </row>
    <row r="90" spans="1:18" ht="12" customHeight="1">
      <c r="A90" s="633"/>
      <c r="B90" s="636" t="s">
        <v>92</v>
      </c>
      <c r="C90" s="638">
        <v>2.16</v>
      </c>
      <c r="D90" s="638">
        <v>2.15</v>
      </c>
      <c r="E90" s="638">
        <v>2.38</v>
      </c>
      <c r="F90" s="638">
        <v>3.03</v>
      </c>
      <c r="G90" s="638">
        <v>3.1</v>
      </c>
      <c r="H90" s="638">
        <v>4.41</v>
      </c>
      <c r="I90" s="638">
        <v>6.2</v>
      </c>
      <c r="J90" s="638">
        <v>2.88</v>
      </c>
      <c r="K90" s="638">
        <v>4.4400000000000004</v>
      </c>
      <c r="L90" s="638">
        <v>2.7600000000000002</v>
      </c>
      <c r="M90" s="602"/>
      <c r="N90" s="602"/>
      <c r="O90" s="602"/>
      <c r="P90" s="602"/>
      <c r="Q90" s="602"/>
      <c r="R90" s="602"/>
    </row>
    <row r="91" spans="1:18" ht="12" customHeight="1">
      <c r="A91" s="633"/>
      <c r="B91" s="636" t="s">
        <v>93</v>
      </c>
      <c r="C91" s="638">
        <v>36.49</v>
      </c>
      <c r="D91" s="638">
        <v>35.17</v>
      </c>
      <c r="E91" s="638">
        <v>28.68</v>
      </c>
      <c r="F91" s="638">
        <v>25.19</v>
      </c>
      <c r="G91" s="638">
        <v>32.449999999999996</v>
      </c>
      <c r="H91" s="638">
        <v>27.67</v>
      </c>
      <c r="I91" s="638">
        <v>25.150000000000002</v>
      </c>
      <c r="J91" s="638">
        <v>13.44</v>
      </c>
      <c r="K91" s="638">
        <v>9.66</v>
      </c>
      <c r="L91" s="638">
        <v>13.55</v>
      </c>
      <c r="M91" s="602"/>
      <c r="N91" s="602"/>
      <c r="O91" s="602"/>
      <c r="P91" s="602"/>
      <c r="Q91" s="602"/>
      <c r="R91" s="602"/>
    </row>
    <row r="92" spans="1:18" ht="12" customHeight="1">
      <c r="A92" s="633"/>
      <c r="B92" s="636" t="s">
        <v>94</v>
      </c>
      <c r="C92" s="638">
        <v>6.28</v>
      </c>
      <c r="D92" s="638">
        <v>4.17</v>
      </c>
      <c r="E92" s="638">
        <v>3.34</v>
      </c>
      <c r="F92" s="638">
        <v>3.05</v>
      </c>
      <c r="G92" s="638">
        <v>3.3699999999999997</v>
      </c>
      <c r="H92" s="638">
        <v>4.1599999999999993</v>
      </c>
      <c r="I92" s="638">
        <v>6.68</v>
      </c>
      <c r="J92" s="638">
        <v>1.86</v>
      </c>
      <c r="K92" s="638">
        <v>1.47</v>
      </c>
      <c r="L92" s="638">
        <v>1.98</v>
      </c>
      <c r="M92" s="602"/>
      <c r="N92" s="602"/>
      <c r="O92" s="602"/>
      <c r="P92" s="602"/>
      <c r="Q92" s="602"/>
      <c r="R92" s="602"/>
    </row>
    <row r="93" spans="1:18" ht="12" customHeight="1">
      <c r="A93" s="633"/>
      <c r="B93" s="636" t="s">
        <v>95</v>
      </c>
      <c r="C93" s="638">
        <v>1.1500000000000001</v>
      </c>
      <c r="D93" s="638">
        <v>1.1900000000000002</v>
      </c>
      <c r="E93" s="638">
        <v>1.27</v>
      </c>
      <c r="F93" s="638">
        <v>1.29</v>
      </c>
      <c r="G93" s="638">
        <v>1.1800000000000002</v>
      </c>
      <c r="H93" s="638">
        <v>1.42</v>
      </c>
      <c r="I93" s="638">
        <v>1.42</v>
      </c>
      <c r="J93" s="638">
        <v>1.6900000000000002</v>
      </c>
      <c r="K93" s="638">
        <v>1.8</v>
      </c>
      <c r="L93" s="638">
        <v>1.43</v>
      </c>
      <c r="M93" s="602"/>
      <c r="N93" s="602"/>
      <c r="O93" s="602"/>
      <c r="P93" s="602"/>
      <c r="Q93" s="602"/>
      <c r="R93" s="602"/>
    </row>
    <row r="94" spans="1:18" ht="12" customHeight="1">
      <c r="A94" s="633"/>
      <c r="B94" s="634"/>
      <c r="C94" s="634"/>
      <c r="D94" s="634"/>
      <c r="E94" s="634"/>
      <c r="F94" s="634"/>
      <c r="G94" s="634"/>
      <c r="H94" s="634"/>
      <c r="I94" s="634"/>
      <c r="J94" s="634"/>
      <c r="K94" s="634"/>
      <c r="L94" s="634"/>
      <c r="M94" s="602"/>
      <c r="N94" s="602"/>
      <c r="O94" s="602"/>
      <c r="P94" s="602"/>
      <c r="Q94" s="602"/>
      <c r="R94" s="602"/>
    </row>
    <row r="95" spans="1:18" ht="12" customHeight="1">
      <c r="A95" s="633"/>
      <c r="B95" s="636" t="s">
        <v>96</v>
      </c>
      <c r="C95" s="639">
        <v>52</v>
      </c>
      <c r="D95" s="639">
        <v>48</v>
      </c>
      <c r="E95" s="639">
        <v>42</v>
      </c>
      <c r="F95" s="639">
        <v>40</v>
      </c>
      <c r="G95" s="639">
        <v>38</v>
      </c>
      <c r="H95" s="639">
        <v>36</v>
      </c>
      <c r="I95" s="639">
        <v>25</v>
      </c>
      <c r="J95" s="639">
        <v>19</v>
      </c>
      <c r="K95" s="639">
        <v>15</v>
      </c>
      <c r="L95" s="639">
        <v>15</v>
      </c>
      <c r="M95" s="602"/>
      <c r="N95" s="602"/>
      <c r="O95" s="602"/>
      <c r="P95" s="602"/>
      <c r="Q95" s="602"/>
      <c r="R95" s="602"/>
    </row>
    <row r="96" spans="1:18" ht="12" customHeight="1">
      <c r="A96" s="633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02"/>
      <c r="N96" s="602"/>
      <c r="O96" s="602"/>
      <c r="P96" s="602"/>
      <c r="Q96" s="602"/>
      <c r="R96" s="602"/>
    </row>
    <row r="97" spans="1:18" ht="12" customHeight="1">
      <c r="A97" s="599"/>
      <c r="B97" s="602"/>
      <c r="C97" s="602"/>
      <c r="D97" s="602"/>
      <c r="E97" s="602"/>
      <c r="F97" s="602"/>
      <c r="G97" s="602"/>
      <c r="H97" s="602"/>
      <c r="I97" s="602"/>
      <c r="J97" s="602"/>
      <c r="K97" s="602"/>
      <c r="L97" s="602"/>
      <c r="M97" s="602"/>
      <c r="N97" s="602"/>
      <c r="O97" s="602"/>
      <c r="P97" s="602"/>
      <c r="Q97" s="602"/>
      <c r="R97" s="602"/>
    </row>
    <row r="98" spans="1:18" ht="15.75" customHeight="1">
      <c r="A98" s="614" t="s">
        <v>97</v>
      </c>
      <c r="B98" s="615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2"/>
      <c r="P98" s="602"/>
      <c r="Q98" s="602"/>
      <c r="R98" s="602"/>
    </row>
    <row r="99" spans="1:18" ht="12" customHeight="1">
      <c r="A99" s="599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2"/>
      <c r="P99" s="602"/>
      <c r="Q99" s="602"/>
      <c r="R99" s="602"/>
    </row>
    <row r="100" spans="1:18" ht="23.25" customHeight="1">
      <c r="A100" s="630"/>
      <c r="B100" s="631" t="s">
        <v>32</v>
      </c>
      <c r="C100" s="632" t="s">
        <v>70</v>
      </c>
      <c r="D100" s="632" t="s">
        <v>71</v>
      </c>
      <c r="E100" s="632" t="s">
        <v>72</v>
      </c>
      <c r="F100" s="632" t="s">
        <v>73</v>
      </c>
      <c r="G100" s="632" t="s">
        <v>74</v>
      </c>
      <c r="H100" s="632" t="s">
        <v>75</v>
      </c>
      <c r="I100" s="632" t="s">
        <v>76</v>
      </c>
      <c r="J100" s="632" t="s">
        <v>77</v>
      </c>
      <c r="K100" s="632" t="s">
        <v>78</v>
      </c>
      <c r="L100" s="632" t="s">
        <v>79</v>
      </c>
      <c r="M100" s="602"/>
      <c r="N100" s="602"/>
      <c r="O100" s="602"/>
      <c r="P100" s="602"/>
      <c r="Q100" s="602"/>
      <c r="R100" s="602"/>
    </row>
    <row r="101" spans="1:18" ht="34.5" customHeight="1">
      <c r="A101" s="633"/>
      <c r="B101" s="634"/>
      <c r="C101" s="635" t="s">
        <v>80</v>
      </c>
      <c r="D101" s="635" t="s">
        <v>80</v>
      </c>
      <c r="E101" s="635" t="s">
        <v>80</v>
      </c>
      <c r="F101" s="635" t="s">
        <v>80</v>
      </c>
      <c r="G101" s="635" t="s">
        <v>80</v>
      </c>
      <c r="H101" s="635" t="s">
        <v>80</v>
      </c>
      <c r="I101" s="635" t="s">
        <v>80</v>
      </c>
      <c r="J101" s="635" t="s">
        <v>81</v>
      </c>
      <c r="K101" s="635" t="s">
        <v>81</v>
      </c>
      <c r="L101" s="635" t="s">
        <v>81</v>
      </c>
      <c r="M101" s="602"/>
      <c r="N101" s="602"/>
      <c r="O101" s="602"/>
      <c r="P101" s="602"/>
      <c r="Q101" s="602"/>
      <c r="R101" s="602"/>
    </row>
    <row r="102" spans="1:18" ht="12" customHeight="1">
      <c r="A102" s="640"/>
      <c r="B102" s="641" t="s">
        <v>98</v>
      </c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02"/>
      <c r="N102" s="602"/>
      <c r="O102" s="602"/>
      <c r="P102" s="602"/>
      <c r="Q102" s="602"/>
      <c r="R102" s="602"/>
    </row>
    <row r="103" spans="1:18" ht="12" customHeight="1">
      <c r="A103" s="633"/>
      <c r="B103" s="636" t="s">
        <v>99</v>
      </c>
      <c r="C103" s="637">
        <v>0</v>
      </c>
      <c r="D103" s="637">
        <v>0</v>
      </c>
      <c r="E103" s="637">
        <v>0</v>
      </c>
      <c r="F103" s="637">
        <v>0</v>
      </c>
      <c r="G103" s="637">
        <v>0</v>
      </c>
      <c r="H103" s="637">
        <v>0</v>
      </c>
      <c r="I103" s="637">
        <v>0</v>
      </c>
      <c r="J103" s="637">
        <v>0</v>
      </c>
      <c r="K103" s="637">
        <v>0</v>
      </c>
      <c r="L103" s="637">
        <v>0</v>
      </c>
      <c r="M103" s="602"/>
      <c r="N103" s="602"/>
      <c r="O103" s="602"/>
      <c r="P103" s="602"/>
      <c r="Q103" s="602"/>
      <c r="R103" s="602"/>
    </row>
    <row r="104" spans="1:18" ht="12" customHeight="1">
      <c r="A104" s="633"/>
      <c r="B104" s="636" t="s">
        <v>100</v>
      </c>
      <c r="C104" s="637">
        <v>0</v>
      </c>
      <c r="D104" s="637">
        <v>0</v>
      </c>
      <c r="E104" s="637">
        <v>0</v>
      </c>
      <c r="F104" s="637">
        <v>0</v>
      </c>
      <c r="G104" s="637">
        <v>0</v>
      </c>
      <c r="H104" s="637">
        <v>0</v>
      </c>
      <c r="I104" s="637">
        <v>0</v>
      </c>
      <c r="J104" s="637">
        <v>0</v>
      </c>
      <c r="K104" s="637">
        <v>0</v>
      </c>
      <c r="L104" s="637">
        <v>0</v>
      </c>
      <c r="M104" s="602"/>
      <c r="N104" s="602"/>
      <c r="O104" s="602"/>
      <c r="P104" s="602"/>
      <c r="Q104" s="602"/>
      <c r="R104" s="602"/>
    </row>
    <row r="105" spans="1:18" ht="12" customHeight="1">
      <c r="A105" s="633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02"/>
      <c r="N105" s="602"/>
      <c r="O105" s="602"/>
      <c r="P105" s="602"/>
      <c r="Q105" s="602"/>
      <c r="R105" s="602"/>
    </row>
    <row r="106" spans="1:18" ht="12" customHeight="1">
      <c r="A106" s="633"/>
      <c r="B106" s="636" t="s">
        <v>101</v>
      </c>
      <c r="C106" s="637">
        <v>2157604</v>
      </c>
      <c r="D106" s="637">
        <v>1597153</v>
      </c>
      <c r="E106" s="637">
        <v>1533059</v>
      </c>
      <c r="F106" s="637">
        <v>836581</v>
      </c>
      <c r="G106" s="637">
        <v>563008</v>
      </c>
      <c r="H106" s="637">
        <v>577699</v>
      </c>
      <c r="I106" s="637">
        <v>692542</v>
      </c>
      <c r="J106" s="637">
        <v>644223</v>
      </c>
      <c r="K106" s="637">
        <v>276336</v>
      </c>
      <c r="L106" s="637">
        <v>303839</v>
      </c>
      <c r="M106" s="602"/>
      <c r="N106" s="602"/>
      <c r="O106" s="602"/>
      <c r="P106" s="602"/>
      <c r="Q106" s="602"/>
      <c r="R106" s="602"/>
    </row>
    <row r="107" spans="1:18" ht="12" customHeight="1">
      <c r="A107" s="633"/>
      <c r="B107" s="636" t="s">
        <v>102</v>
      </c>
      <c r="C107" s="637">
        <v>1446204</v>
      </c>
      <c r="D107" s="637">
        <v>947984</v>
      </c>
      <c r="E107" s="637">
        <v>1141024</v>
      </c>
      <c r="F107" s="637">
        <v>494303</v>
      </c>
      <c r="G107" s="637">
        <v>348629</v>
      </c>
      <c r="H107" s="637">
        <v>412309</v>
      </c>
      <c r="I107" s="637">
        <v>438786</v>
      </c>
      <c r="J107" s="637">
        <v>470038</v>
      </c>
      <c r="K107" s="637">
        <v>82026</v>
      </c>
      <c r="L107" s="637">
        <v>117794</v>
      </c>
      <c r="M107" s="602"/>
      <c r="N107" s="602"/>
      <c r="O107" s="602"/>
      <c r="P107" s="602"/>
      <c r="Q107" s="602"/>
      <c r="R107" s="602"/>
    </row>
    <row r="108" spans="1:18" ht="12" customHeight="1">
      <c r="A108" s="633"/>
      <c r="B108" s="636" t="s">
        <v>103</v>
      </c>
      <c r="C108" s="637">
        <v>0</v>
      </c>
      <c r="D108" s="637">
        <v>0</v>
      </c>
      <c r="E108" s="637">
        <v>0</v>
      </c>
      <c r="F108" s="637">
        <v>0</v>
      </c>
      <c r="G108" s="637">
        <v>0</v>
      </c>
      <c r="H108" s="637">
        <v>0</v>
      </c>
      <c r="I108" s="637">
        <v>0</v>
      </c>
      <c r="J108" s="635" t="s">
        <v>104</v>
      </c>
      <c r="K108" s="635" t="s">
        <v>104</v>
      </c>
      <c r="L108" s="635" t="s">
        <v>104</v>
      </c>
      <c r="M108" s="602"/>
      <c r="N108" s="602"/>
      <c r="O108" s="602"/>
      <c r="P108" s="602"/>
      <c r="Q108" s="602"/>
      <c r="R108" s="602"/>
    </row>
    <row r="109" spans="1:18" ht="12" customHeight="1">
      <c r="A109" s="633"/>
      <c r="B109" s="636" t="s">
        <v>105</v>
      </c>
      <c r="C109" s="637">
        <v>0</v>
      </c>
      <c r="D109" s="637">
        <v>0</v>
      </c>
      <c r="E109" s="637">
        <v>0</v>
      </c>
      <c r="F109" s="637">
        <v>0</v>
      </c>
      <c r="G109" s="637">
        <v>0</v>
      </c>
      <c r="H109" s="637">
        <v>0</v>
      </c>
      <c r="I109" s="637">
        <v>0</v>
      </c>
      <c r="J109" s="635" t="s">
        <v>104</v>
      </c>
      <c r="K109" s="635" t="s">
        <v>104</v>
      </c>
      <c r="L109" s="635" t="s">
        <v>104</v>
      </c>
      <c r="M109" s="602"/>
      <c r="N109" s="602"/>
      <c r="O109" s="602"/>
      <c r="P109" s="602"/>
      <c r="Q109" s="602"/>
      <c r="R109" s="602"/>
    </row>
    <row r="110" spans="1:18" ht="12" customHeight="1">
      <c r="A110" s="633"/>
      <c r="B110" s="636" t="s">
        <v>106</v>
      </c>
      <c r="C110" s="637">
        <v>457183</v>
      </c>
      <c r="D110" s="637">
        <v>378595</v>
      </c>
      <c r="E110" s="637">
        <v>502430</v>
      </c>
      <c r="F110" s="637">
        <v>0</v>
      </c>
      <c r="G110" s="637">
        <v>7776</v>
      </c>
      <c r="H110" s="637">
        <v>2500</v>
      </c>
      <c r="I110" s="637">
        <v>8000</v>
      </c>
      <c r="J110" s="635" t="s">
        <v>104</v>
      </c>
      <c r="K110" s="635" t="s">
        <v>104</v>
      </c>
      <c r="L110" s="635" t="s">
        <v>104</v>
      </c>
      <c r="M110" s="602"/>
      <c r="N110" s="602"/>
      <c r="O110" s="602"/>
      <c r="P110" s="602"/>
      <c r="Q110" s="602"/>
      <c r="R110" s="602"/>
    </row>
    <row r="111" spans="1:18" ht="23.25" customHeight="1">
      <c r="A111" s="633"/>
      <c r="B111" s="636" t="s">
        <v>107</v>
      </c>
      <c r="C111" s="637">
        <v>303484</v>
      </c>
      <c r="D111" s="637">
        <v>31737</v>
      </c>
      <c r="E111" s="637">
        <v>30220</v>
      </c>
      <c r="F111" s="637">
        <v>23054</v>
      </c>
      <c r="G111" s="637">
        <v>24644</v>
      </c>
      <c r="H111" s="637">
        <v>22091</v>
      </c>
      <c r="I111" s="637">
        <v>18364</v>
      </c>
      <c r="J111" s="635" t="s">
        <v>104</v>
      </c>
      <c r="K111" s="635" t="s">
        <v>104</v>
      </c>
      <c r="L111" s="635" t="s">
        <v>104</v>
      </c>
      <c r="M111" s="602"/>
      <c r="N111" s="602"/>
      <c r="O111" s="602"/>
      <c r="P111" s="602"/>
      <c r="Q111" s="602"/>
      <c r="R111" s="602"/>
    </row>
    <row r="112" spans="1:18" ht="12" customHeight="1">
      <c r="A112" s="633"/>
      <c r="B112" s="636" t="s">
        <v>108</v>
      </c>
      <c r="C112" s="637">
        <v>0</v>
      </c>
      <c r="D112" s="637">
        <v>320</v>
      </c>
      <c r="E112" s="637">
        <v>755</v>
      </c>
      <c r="F112" s="637">
        <v>1190</v>
      </c>
      <c r="G112" s="637">
        <v>1625</v>
      </c>
      <c r="H112" s="637">
        <v>2059</v>
      </c>
      <c r="I112" s="637">
        <v>2494</v>
      </c>
      <c r="J112" s="635" t="s">
        <v>104</v>
      </c>
      <c r="K112" s="635" t="s">
        <v>104</v>
      </c>
      <c r="L112" s="635" t="s">
        <v>104</v>
      </c>
      <c r="M112" s="602"/>
      <c r="N112" s="602"/>
      <c r="O112" s="602"/>
      <c r="P112" s="602"/>
      <c r="Q112" s="602"/>
      <c r="R112" s="602"/>
    </row>
    <row r="113" spans="1:18" ht="12" customHeight="1">
      <c r="A113" s="633"/>
      <c r="B113" s="636" t="s">
        <v>109</v>
      </c>
      <c r="C113" s="637">
        <v>0</v>
      </c>
      <c r="D113" s="637">
        <v>320</v>
      </c>
      <c r="E113" s="637">
        <v>755</v>
      </c>
      <c r="F113" s="637">
        <v>1190</v>
      </c>
      <c r="G113" s="637">
        <v>1625</v>
      </c>
      <c r="H113" s="637">
        <v>2059</v>
      </c>
      <c r="I113" s="637">
        <v>2494</v>
      </c>
      <c r="J113" s="635" t="s">
        <v>104</v>
      </c>
      <c r="K113" s="635" t="s">
        <v>104</v>
      </c>
      <c r="L113" s="635" t="s">
        <v>104</v>
      </c>
      <c r="M113" s="602"/>
      <c r="N113" s="602"/>
      <c r="O113" s="602"/>
      <c r="P113" s="602"/>
      <c r="Q113" s="602"/>
      <c r="R113" s="602"/>
    </row>
    <row r="114" spans="1:18" ht="12" customHeight="1">
      <c r="A114" s="633"/>
      <c r="B114" s="636" t="s">
        <v>110</v>
      </c>
      <c r="C114" s="637">
        <v>0</v>
      </c>
      <c r="D114" s="637">
        <v>0</v>
      </c>
      <c r="E114" s="637">
        <v>0</v>
      </c>
      <c r="F114" s="637">
        <v>0</v>
      </c>
      <c r="G114" s="637">
        <v>0</v>
      </c>
      <c r="H114" s="637">
        <v>0</v>
      </c>
      <c r="I114" s="637">
        <v>0</v>
      </c>
      <c r="J114" s="635" t="s">
        <v>104</v>
      </c>
      <c r="K114" s="635" t="s">
        <v>104</v>
      </c>
      <c r="L114" s="635" t="s">
        <v>104</v>
      </c>
      <c r="M114" s="602"/>
      <c r="N114" s="602"/>
      <c r="O114" s="602"/>
      <c r="P114" s="602"/>
      <c r="Q114" s="602"/>
      <c r="R114" s="602"/>
    </row>
    <row r="115" spans="1:18" ht="12" customHeight="1">
      <c r="A115" s="633"/>
      <c r="B115" s="636" t="s">
        <v>111</v>
      </c>
      <c r="C115" s="637">
        <v>685537</v>
      </c>
      <c r="D115" s="637">
        <v>537332</v>
      </c>
      <c r="E115" s="637">
        <v>607619</v>
      </c>
      <c r="F115" s="637">
        <v>470059</v>
      </c>
      <c r="G115" s="637">
        <v>314584</v>
      </c>
      <c r="H115" s="637">
        <v>385659</v>
      </c>
      <c r="I115" s="637">
        <v>409928</v>
      </c>
      <c r="J115" s="635" t="s">
        <v>104</v>
      </c>
      <c r="K115" s="635" t="s">
        <v>104</v>
      </c>
      <c r="L115" s="635" t="s">
        <v>104</v>
      </c>
      <c r="M115" s="602"/>
      <c r="N115" s="602"/>
      <c r="O115" s="602"/>
      <c r="P115" s="602"/>
      <c r="Q115" s="602"/>
      <c r="R115" s="602"/>
    </row>
    <row r="116" spans="1:18" ht="12" customHeight="1">
      <c r="A116" s="633"/>
      <c r="B116" s="636" t="s">
        <v>112</v>
      </c>
      <c r="C116" s="635" t="s">
        <v>104</v>
      </c>
      <c r="D116" s="635" t="s">
        <v>104</v>
      </c>
      <c r="E116" s="635" t="s">
        <v>104</v>
      </c>
      <c r="F116" s="635" t="s">
        <v>104</v>
      </c>
      <c r="G116" s="635" t="s">
        <v>104</v>
      </c>
      <c r="H116" s="635" t="s">
        <v>104</v>
      </c>
      <c r="I116" s="635" t="s">
        <v>104</v>
      </c>
      <c r="J116" s="637">
        <v>637202</v>
      </c>
      <c r="K116" s="637">
        <v>560857</v>
      </c>
      <c r="L116" s="637">
        <v>516308</v>
      </c>
      <c r="M116" s="602"/>
      <c r="N116" s="602"/>
      <c r="O116" s="602"/>
      <c r="P116" s="602"/>
      <c r="Q116" s="602"/>
      <c r="R116" s="602"/>
    </row>
    <row r="117" spans="1:18" ht="12" customHeight="1">
      <c r="A117" s="633"/>
      <c r="B117" s="634"/>
      <c r="C117" s="634"/>
      <c r="D117" s="634"/>
      <c r="E117" s="634"/>
      <c r="F117" s="634"/>
      <c r="G117" s="634"/>
      <c r="H117" s="634"/>
      <c r="I117" s="634"/>
      <c r="J117" s="634"/>
      <c r="K117" s="634"/>
      <c r="L117" s="634"/>
      <c r="M117" s="602"/>
      <c r="N117" s="602"/>
      <c r="O117" s="602"/>
      <c r="P117" s="602"/>
      <c r="Q117" s="602"/>
      <c r="R117" s="602"/>
    </row>
    <row r="118" spans="1:18" ht="12" customHeight="1">
      <c r="A118" s="633"/>
      <c r="B118" s="636" t="s">
        <v>113</v>
      </c>
      <c r="C118" s="637">
        <v>661130</v>
      </c>
      <c r="D118" s="637">
        <v>598899</v>
      </c>
      <c r="E118" s="637">
        <v>341765</v>
      </c>
      <c r="F118" s="637">
        <v>292008</v>
      </c>
      <c r="G118" s="637">
        <v>164109</v>
      </c>
      <c r="H118" s="637">
        <v>115120</v>
      </c>
      <c r="I118" s="637">
        <v>114391</v>
      </c>
      <c r="J118" s="637">
        <v>123915</v>
      </c>
      <c r="K118" s="637">
        <v>144040</v>
      </c>
      <c r="L118" s="637">
        <v>160775</v>
      </c>
      <c r="M118" s="602"/>
      <c r="N118" s="602"/>
      <c r="O118" s="602"/>
      <c r="P118" s="602"/>
      <c r="Q118" s="602"/>
      <c r="R118" s="602"/>
    </row>
    <row r="119" spans="1:18" ht="12" customHeight="1">
      <c r="A119" s="633"/>
      <c r="B119" s="636" t="s">
        <v>114</v>
      </c>
      <c r="C119" s="635" t="s">
        <v>104</v>
      </c>
      <c r="D119" s="635" t="s">
        <v>104</v>
      </c>
      <c r="E119" s="635" t="s">
        <v>104</v>
      </c>
      <c r="F119" s="635" t="s">
        <v>104</v>
      </c>
      <c r="G119" s="635" t="s">
        <v>104</v>
      </c>
      <c r="H119" s="635" t="s">
        <v>104</v>
      </c>
      <c r="I119" s="635" t="s">
        <v>104</v>
      </c>
      <c r="J119" s="635" t="s">
        <v>104</v>
      </c>
      <c r="K119" s="635" t="s">
        <v>104</v>
      </c>
      <c r="L119" s="635" t="s">
        <v>104</v>
      </c>
      <c r="M119" s="602"/>
      <c r="N119" s="602"/>
      <c r="O119" s="602"/>
      <c r="P119" s="602"/>
      <c r="Q119" s="602"/>
      <c r="R119" s="602"/>
    </row>
    <row r="120" spans="1:18" ht="12" customHeight="1">
      <c r="A120" s="633"/>
      <c r="B120" s="636" t="s">
        <v>115</v>
      </c>
      <c r="C120" s="637">
        <v>0</v>
      </c>
      <c r="D120" s="637">
        <v>0</v>
      </c>
      <c r="E120" s="637">
        <v>0</v>
      </c>
      <c r="F120" s="637">
        <v>0</v>
      </c>
      <c r="G120" s="637">
        <v>0</v>
      </c>
      <c r="H120" s="637">
        <v>0</v>
      </c>
      <c r="I120" s="637">
        <v>0</v>
      </c>
      <c r="J120" s="635" t="s">
        <v>104</v>
      </c>
      <c r="K120" s="635" t="s">
        <v>104</v>
      </c>
      <c r="L120" s="635" t="s">
        <v>104</v>
      </c>
      <c r="M120" s="602"/>
      <c r="N120" s="602"/>
      <c r="O120" s="602"/>
      <c r="P120" s="602"/>
      <c r="Q120" s="602"/>
      <c r="R120" s="602"/>
    </row>
    <row r="121" spans="1:18" ht="12" customHeight="1">
      <c r="A121" s="633"/>
      <c r="B121" s="636" t="s">
        <v>116</v>
      </c>
      <c r="C121" s="637">
        <v>0</v>
      </c>
      <c r="D121" s="637">
        <v>0</v>
      </c>
      <c r="E121" s="637">
        <v>0</v>
      </c>
      <c r="F121" s="637">
        <v>0</v>
      </c>
      <c r="G121" s="637">
        <v>0</v>
      </c>
      <c r="H121" s="637">
        <v>0</v>
      </c>
      <c r="I121" s="637">
        <v>0</v>
      </c>
      <c r="J121" s="635" t="s">
        <v>104</v>
      </c>
      <c r="K121" s="635" t="s">
        <v>104</v>
      </c>
      <c r="L121" s="635" t="s">
        <v>104</v>
      </c>
      <c r="M121" s="602"/>
      <c r="N121" s="602"/>
      <c r="O121" s="602"/>
      <c r="P121" s="602"/>
      <c r="Q121" s="602"/>
      <c r="R121" s="602"/>
    </row>
    <row r="122" spans="1:18" ht="12" customHeight="1">
      <c r="A122" s="633"/>
      <c r="B122" s="636" t="s">
        <v>117</v>
      </c>
      <c r="C122" s="637">
        <v>566644</v>
      </c>
      <c r="D122" s="637">
        <v>473049</v>
      </c>
      <c r="E122" s="637">
        <v>315454</v>
      </c>
      <c r="F122" s="637">
        <v>271989</v>
      </c>
      <c r="G122" s="637">
        <v>103437</v>
      </c>
      <c r="H122" s="637">
        <v>97013</v>
      </c>
      <c r="I122" s="637">
        <v>89836</v>
      </c>
      <c r="J122" s="635" t="s">
        <v>104</v>
      </c>
      <c r="K122" s="635" t="s">
        <v>104</v>
      </c>
      <c r="L122" s="635" t="s">
        <v>104</v>
      </c>
      <c r="M122" s="602"/>
      <c r="N122" s="602"/>
      <c r="O122" s="602"/>
      <c r="P122" s="602"/>
      <c r="Q122" s="602"/>
      <c r="R122" s="602"/>
    </row>
    <row r="123" spans="1:18" ht="12" customHeight="1">
      <c r="A123" s="633"/>
      <c r="B123" s="636" t="s">
        <v>118</v>
      </c>
      <c r="C123" s="637">
        <v>94486</v>
      </c>
      <c r="D123" s="637">
        <v>125850</v>
      </c>
      <c r="E123" s="637">
        <v>26311</v>
      </c>
      <c r="F123" s="637">
        <v>20019</v>
      </c>
      <c r="G123" s="637">
        <v>60672</v>
      </c>
      <c r="H123" s="637">
        <v>18107</v>
      </c>
      <c r="I123" s="637">
        <v>24555</v>
      </c>
      <c r="J123" s="635" t="s">
        <v>104</v>
      </c>
      <c r="K123" s="635" t="s">
        <v>104</v>
      </c>
      <c r="L123" s="635" t="s">
        <v>104</v>
      </c>
      <c r="M123" s="602"/>
      <c r="N123" s="602"/>
      <c r="O123" s="602"/>
      <c r="P123" s="602"/>
      <c r="Q123" s="602"/>
      <c r="R123" s="602"/>
    </row>
    <row r="124" spans="1:18" ht="12" customHeight="1">
      <c r="A124" s="633"/>
      <c r="B124" s="636" t="s">
        <v>119</v>
      </c>
      <c r="C124" s="637">
        <v>0</v>
      </c>
      <c r="D124" s="637">
        <v>0</v>
      </c>
      <c r="E124" s="637">
        <v>0</v>
      </c>
      <c r="F124" s="637">
        <v>0</v>
      </c>
      <c r="G124" s="637">
        <v>0</v>
      </c>
      <c r="H124" s="637">
        <v>0</v>
      </c>
      <c r="I124" s="637">
        <v>0</v>
      </c>
      <c r="J124" s="635" t="s">
        <v>104</v>
      </c>
      <c r="K124" s="635" t="s">
        <v>104</v>
      </c>
      <c r="L124" s="635" t="s">
        <v>104</v>
      </c>
      <c r="M124" s="602"/>
      <c r="N124" s="602"/>
      <c r="O124" s="602"/>
      <c r="P124" s="602"/>
      <c r="Q124" s="602"/>
      <c r="R124" s="602"/>
    </row>
    <row r="125" spans="1:18" ht="12" customHeight="1">
      <c r="A125" s="633"/>
      <c r="B125" s="636" t="s">
        <v>120</v>
      </c>
      <c r="C125" s="635" t="s">
        <v>104</v>
      </c>
      <c r="D125" s="635" t="s">
        <v>104</v>
      </c>
      <c r="E125" s="635" t="s">
        <v>104</v>
      </c>
      <c r="F125" s="635" t="s">
        <v>104</v>
      </c>
      <c r="G125" s="635" t="s">
        <v>104</v>
      </c>
      <c r="H125" s="635" t="s">
        <v>104</v>
      </c>
      <c r="I125" s="635" t="s">
        <v>104</v>
      </c>
      <c r="J125" s="637">
        <v>341146</v>
      </c>
      <c r="K125" s="637">
        <v>293996</v>
      </c>
      <c r="L125" s="637">
        <v>245698</v>
      </c>
      <c r="M125" s="602"/>
      <c r="N125" s="602"/>
      <c r="O125" s="602"/>
      <c r="P125" s="602"/>
      <c r="Q125" s="602"/>
      <c r="R125" s="602"/>
    </row>
    <row r="126" spans="1:18" ht="12" customHeight="1">
      <c r="A126" s="633"/>
      <c r="B126" s="634"/>
      <c r="C126" s="634"/>
      <c r="D126" s="634"/>
      <c r="E126" s="634"/>
      <c r="F126" s="634"/>
      <c r="G126" s="634"/>
      <c r="H126" s="634"/>
      <c r="I126" s="634"/>
      <c r="J126" s="634"/>
      <c r="K126" s="634"/>
      <c r="L126" s="634"/>
      <c r="M126" s="602"/>
      <c r="N126" s="602"/>
      <c r="O126" s="602"/>
      <c r="P126" s="602"/>
      <c r="Q126" s="602"/>
      <c r="R126" s="602"/>
    </row>
    <row r="127" spans="1:18" ht="12" customHeight="1">
      <c r="A127" s="633"/>
      <c r="B127" s="636" t="s">
        <v>121</v>
      </c>
      <c r="C127" s="637">
        <v>50270</v>
      </c>
      <c r="D127" s="637">
        <v>50270</v>
      </c>
      <c r="E127" s="637">
        <v>50270</v>
      </c>
      <c r="F127" s="637">
        <v>50270</v>
      </c>
      <c r="G127" s="637">
        <v>50270</v>
      </c>
      <c r="H127" s="637">
        <v>50270</v>
      </c>
      <c r="I127" s="637">
        <v>139365</v>
      </c>
      <c r="J127" s="637">
        <v>50270</v>
      </c>
      <c r="K127" s="637">
        <v>50270</v>
      </c>
      <c r="L127" s="637">
        <v>25270</v>
      </c>
      <c r="M127" s="602"/>
      <c r="N127" s="602"/>
      <c r="O127" s="602"/>
      <c r="P127" s="602"/>
      <c r="Q127" s="602"/>
      <c r="R127" s="602"/>
    </row>
    <row r="128" spans="1:18" ht="12" customHeight="1">
      <c r="A128" s="633"/>
      <c r="B128" s="636" t="s">
        <v>122</v>
      </c>
      <c r="C128" s="637">
        <v>0</v>
      </c>
      <c r="D128" s="637">
        <v>0</v>
      </c>
      <c r="E128" s="637">
        <v>0</v>
      </c>
      <c r="F128" s="637">
        <v>0</v>
      </c>
      <c r="G128" s="637">
        <v>0</v>
      </c>
      <c r="H128" s="637">
        <v>0</v>
      </c>
      <c r="I128" s="637">
        <v>0</v>
      </c>
      <c r="J128" s="635" t="s">
        <v>104</v>
      </c>
      <c r="K128" s="635" t="s">
        <v>104</v>
      </c>
      <c r="L128" s="635" t="s">
        <v>104</v>
      </c>
      <c r="M128" s="602"/>
      <c r="N128" s="602"/>
      <c r="O128" s="602"/>
      <c r="P128" s="602"/>
      <c r="Q128" s="602"/>
      <c r="R128" s="602"/>
    </row>
    <row r="129" spans="1:18" ht="12" customHeight="1">
      <c r="A129" s="633"/>
      <c r="B129" s="636" t="s">
        <v>123</v>
      </c>
      <c r="C129" s="637">
        <v>50270</v>
      </c>
      <c r="D129" s="637">
        <v>50270</v>
      </c>
      <c r="E129" s="637">
        <v>50270</v>
      </c>
      <c r="F129" s="637">
        <v>50270</v>
      </c>
      <c r="G129" s="637">
        <v>50270</v>
      </c>
      <c r="H129" s="637">
        <v>50270</v>
      </c>
      <c r="I129" s="637">
        <v>139365</v>
      </c>
      <c r="J129" s="635" t="s">
        <v>104</v>
      </c>
      <c r="K129" s="635" t="s">
        <v>104</v>
      </c>
      <c r="L129" s="635" t="s">
        <v>104</v>
      </c>
      <c r="M129" s="602"/>
      <c r="N129" s="602"/>
      <c r="O129" s="602"/>
      <c r="P129" s="602"/>
      <c r="Q129" s="602"/>
      <c r="R129" s="602"/>
    </row>
    <row r="130" spans="1:18" ht="12" customHeight="1">
      <c r="A130" s="633"/>
      <c r="B130" s="636" t="s">
        <v>124</v>
      </c>
      <c r="C130" s="637">
        <v>50000</v>
      </c>
      <c r="D130" s="637">
        <v>50000</v>
      </c>
      <c r="E130" s="637">
        <v>50000</v>
      </c>
      <c r="F130" s="637">
        <v>50000</v>
      </c>
      <c r="G130" s="637">
        <v>50000</v>
      </c>
      <c r="H130" s="637">
        <v>50000</v>
      </c>
      <c r="I130" s="637">
        <v>139095</v>
      </c>
      <c r="J130" s="635" t="s">
        <v>104</v>
      </c>
      <c r="K130" s="635" t="s">
        <v>104</v>
      </c>
      <c r="L130" s="635" t="s">
        <v>104</v>
      </c>
      <c r="M130" s="602"/>
      <c r="N130" s="602"/>
      <c r="O130" s="602"/>
      <c r="P130" s="602"/>
      <c r="Q130" s="602"/>
      <c r="R130" s="602"/>
    </row>
    <row r="131" spans="1:18" ht="12" customHeight="1">
      <c r="A131" s="633"/>
      <c r="B131" s="636" t="s">
        <v>125</v>
      </c>
      <c r="C131" s="637">
        <v>0</v>
      </c>
      <c r="D131" s="637">
        <v>0</v>
      </c>
      <c r="E131" s="637">
        <v>0</v>
      </c>
      <c r="F131" s="637">
        <v>0</v>
      </c>
      <c r="G131" s="637">
        <v>0</v>
      </c>
      <c r="H131" s="637">
        <v>0</v>
      </c>
      <c r="I131" s="637">
        <v>0</v>
      </c>
      <c r="J131" s="635" t="s">
        <v>104</v>
      </c>
      <c r="K131" s="635" t="s">
        <v>104</v>
      </c>
      <c r="L131" s="635" t="s">
        <v>104</v>
      </c>
      <c r="M131" s="602"/>
      <c r="N131" s="602"/>
      <c r="O131" s="602"/>
      <c r="P131" s="602"/>
      <c r="Q131" s="602"/>
      <c r="R131" s="602"/>
    </row>
    <row r="132" spans="1:18" ht="12" customHeight="1">
      <c r="A132" s="633"/>
      <c r="B132" s="636" t="s">
        <v>126</v>
      </c>
      <c r="C132" s="637">
        <v>0</v>
      </c>
      <c r="D132" s="637">
        <v>0</v>
      </c>
      <c r="E132" s="637">
        <v>0</v>
      </c>
      <c r="F132" s="637">
        <v>0</v>
      </c>
      <c r="G132" s="637">
        <v>0</v>
      </c>
      <c r="H132" s="637">
        <v>0</v>
      </c>
      <c r="I132" s="637">
        <v>0</v>
      </c>
      <c r="J132" s="635" t="s">
        <v>104</v>
      </c>
      <c r="K132" s="635" t="s">
        <v>104</v>
      </c>
      <c r="L132" s="635" t="s">
        <v>104</v>
      </c>
      <c r="M132" s="602"/>
      <c r="N132" s="602"/>
      <c r="O132" s="602"/>
      <c r="P132" s="602"/>
      <c r="Q132" s="602"/>
      <c r="R132" s="602"/>
    </row>
    <row r="133" spans="1:18" ht="23.25" customHeight="1">
      <c r="A133" s="633"/>
      <c r="B133" s="636" t="s">
        <v>127</v>
      </c>
      <c r="C133" s="637">
        <v>0</v>
      </c>
      <c r="D133" s="637">
        <v>0</v>
      </c>
      <c r="E133" s="637">
        <v>0</v>
      </c>
      <c r="F133" s="637">
        <v>0</v>
      </c>
      <c r="G133" s="637">
        <v>0</v>
      </c>
      <c r="H133" s="637">
        <v>0</v>
      </c>
      <c r="I133" s="637">
        <v>0</v>
      </c>
      <c r="J133" s="635" t="s">
        <v>104</v>
      </c>
      <c r="K133" s="635" t="s">
        <v>104</v>
      </c>
      <c r="L133" s="635" t="s">
        <v>104</v>
      </c>
      <c r="M133" s="602"/>
      <c r="N133" s="602"/>
      <c r="O133" s="602"/>
      <c r="P133" s="602"/>
      <c r="Q133" s="602"/>
      <c r="R133" s="602"/>
    </row>
    <row r="134" spans="1:18" ht="12" customHeight="1">
      <c r="A134" s="633"/>
      <c r="B134" s="636" t="s">
        <v>128</v>
      </c>
      <c r="C134" s="637">
        <v>270</v>
      </c>
      <c r="D134" s="637">
        <v>270</v>
      </c>
      <c r="E134" s="637">
        <v>270</v>
      </c>
      <c r="F134" s="637">
        <v>270</v>
      </c>
      <c r="G134" s="637">
        <v>270</v>
      </c>
      <c r="H134" s="637">
        <v>270</v>
      </c>
      <c r="I134" s="637">
        <v>270</v>
      </c>
      <c r="J134" s="635" t="s">
        <v>104</v>
      </c>
      <c r="K134" s="635" t="s">
        <v>104</v>
      </c>
      <c r="L134" s="635" t="s">
        <v>104</v>
      </c>
      <c r="M134" s="602"/>
      <c r="N134" s="602"/>
      <c r="O134" s="602"/>
      <c r="P134" s="602"/>
      <c r="Q134" s="602"/>
      <c r="R134" s="602"/>
    </row>
    <row r="135" spans="1:18" ht="12" customHeight="1">
      <c r="A135" s="633"/>
      <c r="B135" s="636" t="s">
        <v>129</v>
      </c>
      <c r="C135" s="637">
        <v>0</v>
      </c>
      <c r="D135" s="637">
        <v>0</v>
      </c>
      <c r="E135" s="637">
        <v>0</v>
      </c>
      <c r="F135" s="637">
        <v>0</v>
      </c>
      <c r="G135" s="637">
        <v>0</v>
      </c>
      <c r="H135" s="637">
        <v>0</v>
      </c>
      <c r="I135" s="637">
        <v>0</v>
      </c>
      <c r="J135" s="635" t="s">
        <v>104</v>
      </c>
      <c r="K135" s="635" t="s">
        <v>104</v>
      </c>
      <c r="L135" s="637">
        <v>0</v>
      </c>
      <c r="M135" s="602"/>
      <c r="N135" s="602"/>
      <c r="O135" s="602"/>
      <c r="P135" s="602"/>
      <c r="Q135" s="602"/>
      <c r="R135" s="602"/>
    </row>
    <row r="136" spans="1:18" ht="12" customHeight="1">
      <c r="A136" s="633"/>
      <c r="B136" s="636" t="s">
        <v>130</v>
      </c>
      <c r="C136" s="637">
        <v>0</v>
      </c>
      <c r="D136" s="637">
        <v>0</v>
      </c>
      <c r="E136" s="637">
        <v>0</v>
      </c>
      <c r="F136" s="637">
        <v>0</v>
      </c>
      <c r="G136" s="637">
        <v>0</v>
      </c>
      <c r="H136" s="637">
        <v>0</v>
      </c>
      <c r="I136" s="637">
        <v>0</v>
      </c>
      <c r="J136" s="635" t="s">
        <v>104</v>
      </c>
      <c r="K136" s="635" t="s">
        <v>104</v>
      </c>
      <c r="L136" s="637">
        <v>0</v>
      </c>
      <c r="M136" s="602"/>
      <c r="N136" s="602"/>
      <c r="O136" s="602"/>
      <c r="P136" s="602"/>
      <c r="Q136" s="602"/>
      <c r="R136" s="602"/>
    </row>
    <row r="137" spans="1:18" ht="23.25" customHeight="1">
      <c r="A137" s="633"/>
      <c r="B137" s="636" t="s">
        <v>131</v>
      </c>
      <c r="C137" s="637">
        <v>0</v>
      </c>
      <c r="D137" s="637">
        <v>0</v>
      </c>
      <c r="E137" s="637">
        <v>0</v>
      </c>
      <c r="F137" s="637">
        <v>0</v>
      </c>
      <c r="G137" s="637">
        <v>0</v>
      </c>
      <c r="H137" s="637">
        <v>0</v>
      </c>
      <c r="I137" s="637">
        <v>0</v>
      </c>
      <c r="J137" s="635" t="s">
        <v>104</v>
      </c>
      <c r="K137" s="635" t="s">
        <v>104</v>
      </c>
      <c r="L137" s="637">
        <v>0</v>
      </c>
      <c r="M137" s="602"/>
      <c r="N137" s="602"/>
      <c r="O137" s="602"/>
      <c r="P137" s="602"/>
      <c r="Q137" s="602"/>
      <c r="R137" s="602"/>
    </row>
    <row r="138" spans="1:18" ht="12" customHeight="1">
      <c r="A138" s="633"/>
      <c r="B138" s="636" t="s">
        <v>132</v>
      </c>
      <c r="C138" s="637">
        <v>0</v>
      </c>
      <c r="D138" s="637">
        <v>0</v>
      </c>
      <c r="E138" s="637">
        <v>0</v>
      </c>
      <c r="F138" s="637">
        <v>0</v>
      </c>
      <c r="G138" s="637">
        <v>0</v>
      </c>
      <c r="H138" s="637">
        <v>0</v>
      </c>
      <c r="I138" s="637">
        <v>0</v>
      </c>
      <c r="J138" s="635" t="s">
        <v>104</v>
      </c>
      <c r="K138" s="635" t="s">
        <v>104</v>
      </c>
      <c r="L138" s="637">
        <v>0</v>
      </c>
      <c r="M138" s="602"/>
      <c r="N138" s="602"/>
      <c r="O138" s="602"/>
      <c r="P138" s="602"/>
      <c r="Q138" s="602"/>
      <c r="R138" s="602"/>
    </row>
    <row r="139" spans="1:18" ht="23.25" customHeight="1">
      <c r="A139" s="633"/>
      <c r="B139" s="636" t="s">
        <v>133</v>
      </c>
      <c r="C139" s="637">
        <v>0</v>
      </c>
      <c r="D139" s="637">
        <v>0</v>
      </c>
      <c r="E139" s="637">
        <v>0</v>
      </c>
      <c r="F139" s="637">
        <v>0</v>
      </c>
      <c r="G139" s="637">
        <v>0</v>
      </c>
      <c r="H139" s="637">
        <v>0</v>
      </c>
      <c r="I139" s="637">
        <v>0</v>
      </c>
      <c r="J139" s="635" t="s">
        <v>104</v>
      </c>
      <c r="K139" s="635" t="s">
        <v>104</v>
      </c>
      <c r="L139" s="637">
        <v>0</v>
      </c>
      <c r="M139" s="602"/>
      <c r="N139" s="602"/>
      <c r="O139" s="602"/>
      <c r="P139" s="602"/>
      <c r="Q139" s="602"/>
      <c r="R139" s="602"/>
    </row>
    <row r="140" spans="1:18" ht="12" customHeight="1">
      <c r="A140" s="633"/>
      <c r="B140" s="636" t="s">
        <v>134</v>
      </c>
      <c r="C140" s="637">
        <v>0</v>
      </c>
      <c r="D140" s="637">
        <v>0</v>
      </c>
      <c r="E140" s="637">
        <v>0</v>
      </c>
      <c r="F140" s="637">
        <v>0</v>
      </c>
      <c r="G140" s="637">
        <v>0</v>
      </c>
      <c r="H140" s="637">
        <v>0</v>
      </c>
      <c r="I140" s="637">
        <v>0</v>
      </c>
      <c r="J140" s="635" t="s">
        <v>104</v>
      </c>
      <c r="K140" s="635" t="s">
        <v>104</v>
      </c>
      <c r="L140" s="637">
        <v>0</v>
      </c>
      <c r="M140" s="602"/>
      <c r="N140" s="602"/>
      <c r="O140" s="602"/>
      <c r="P140" s="602"/>
      <c r="Q140" s="602"/>
      <c r="R140" s="602"/>
    </row>
    <row r="141" spans="1:18" ht="23.25" customHeight="1">
      <c r="A141" s="633"/>
      <c r="B141" s="636" t="s">
        <v>135</v>
      </c>
      <c r="C141" s="637">
        <v>0</v>
      </c>
      <c r="D141" s="637">
        <v>0</v>
      </c>
      <c r="E141" s="637">
        <v>0</v>
      </c>
      <c r="F141" s="637">
        <v>0</v>
      </c>
      <c r="G141" s="637">
        <v>0</v>
      </c>
      <c r="H141" s="637">
        <v>0</v>
      </c>
      <c r="I141" s="637">
        <v>0</v>
      </c>
      <c r="J141" s="635" t="s">
        <v>104</v>
      </c>
      <c r="K141" s="635" t="s">
        <v>104</v>
      </c>
      <c r="L141" s="637">
        <v>0</v>
      </c>
      <c r="M141" s="602"/>
      <c r="N141" s="602"/>
      <c r="O141" s="602"/>
      <c r="P141" s="602"/>
      <c r="Q141" s="602"/>
      <c r="R141" s="602"/>
    </row>
    <row r="142" spans="1:18" ht="23.25" customHeight="1">
      <c r="A142" s="633"/>
      <c r="B142" s="636" t="s">
        <v>136</v>
      </c>
      <c r="C142" s="637">
        <v>0</v>
      </c>
      <c r="D142" s="637">
        <v>0</v>
      </c>
      <c r="E142" s="637">
        <v>0</v>
      </c>
      <c r="F142" s="637">
        <v>0</v>
      </c>
      <c r="G142" s="637">
        <v>0</v>
      </c>
      <c r="H142" s="637">
        <v>0</v>
      </c>
      <c r="I142" s="637">
        <v>0</v>
      </c>
      <c r="J142" s="635" t="s">
        <v>104</v>
      </c>
      <c r="K142" s="635" t="s">
        <v>104</v>
      </c>
      <c r="L142" s="635" t="s">
        <v>104</v>
      </c>
      <c r="M142" s="602"/>
      <c r="N142" s="602"/>
      <c r="O142" s="602"/>
      <c r="P142" s="602"/>
      <c r="Q142" s="602"/>
      <c r="R142" s="602"/>
    </row>
    <row r="143" spans="1:18" ht="23.25" customHeight="1">
      <c r="A143" s="633"/>
      <c r="B143" s="636" t="s">
        <v>137</v>
      </c>
      <c r="C143" s="637">
        <v>0</v>
      </c>
      <c r="D143" s="637">
        <v>0</v>
      </c>
      <c r="E143" s="637">
        <v>0</v>
      </c>
      <c r="F143" s="637">
        <v>0</v>
      </c>
      <c r="G143" s="637">
        <v>0</v>
      </c>
      <c r="H143" s="637">
        <v>0</v>
      </c>
      <c r="I143" s="637">
        <v>0</v>
      </c>
      <c r="J143" s="635" t="s">
        <v>104</v>
      </c>
      <c r="K143" s="635" t="s">
        <v>104</v>
      </c>
      <c r="L143" s="635" t="s">
        <v>104</v>
      </c>
      <c r="M143" s="602"/>
      <c r="N143" s="602"/>
      <c r="O143" s="602"/>
      <c r="P143" s="602"/>
      <c r="Q143" s="602"/>
      <c r="R143" s="602"/>
    </row>
    <row r="144" spans="1:18" ht="12" customHeight="1">
      <c r="A144" s="633"/>
      <c r="B144" s="636" t="s">
        <v>138</v>
      </c>
      <c r="C144" s="637">
        <v>0</v>
      </c>
      <c r="D144" s="637">
        <v>0</v>
      </c>
      <c r="E144" s="637">
        <v>0</v>
      </c>
      <c r="F144" s="637">
        <v>0</v>
      </c>
      <c r="G144" s="637">
        <v>0</v>
      </c>
      <c r="H144" s="637">
        <v>0</v>
      </c>
      <c r="I144" s="637">
        <v>0</v>
      </c>
      <c r="J144" s="635" t="s">
        <v>104</v>
      </c>
      <c r="K144" s="635" t="s">
        <v>104</v>
      </c>
      <c r="L144" s="637">
        <v>0</v>
      </c>
      <c r="M144" s="602"/>
      <c r="N144" s="602"/>
      <c r="O144" s="602"/>
      <c r="P144" s="602"/>
      <c r="Q144" s="602"/>
      <c r="R144" s="602"/>
    </row>
    <row r="145" spans="1:18" ht="23.25" customHeight="1">
      <c r="A145" s="633"/>
      <c r="B145" s="636" t="s">
        <v>139</v>
      </c>
      <c r="C145" s="637">
        <v>0</v>
      </c>
      <c r="D145" s="637">
        <v>0</v>
      </c>
      <c r="E145" s="637">
        <v>0</v>
      </c>
      <c r="F145" s="637">
        <v>0</v>
      </c>
      <c r="G145" s="637">
        <v>0</v>
      </c>
      <c r="H145" s="637">
        <v>0</v>
      </c>
      <c r="I145" s="637">
        <v>0</v>
      </c>
      <c r="J145" s="635" t="s">
        <v>104</v>
      </c>
      <c r="K145" s="635" t="s">
        <v>104</v>
      </c>
      <c r="L145" s="637">
        <v>0</v>
      </c>
      <c r="M145" s="602"/>
      <c r="N145" s="602"/>
      <c r="O145" s="602"/>
      <c r="P145" s="602"/>
      <c r="Q145" s="602"/>
      <c r="R145" s="602"/>
    </row>
    <row r="146" spans="1:18" ht="12" customHeight="1">
      <c r="A146" s="633"/>
      <c r="B146" s="636" t="s">
        <v>140</v>
      </c>
      <c r="C146" s="637">
        <v>0</v>
      </c>
      <c r="D146" s="637">
        <v>0</v>
      </c>
      <c r="E146" s="637">
        <v>0</v>
      </c>
      <c r="F146" s="637">
        <v>0</v>
      </c>
      <c r="G146" s="637">
        <v>0</v>
      </c>
      <c r="H146" s="637">
        <v>0</v>
      </c>
      <c r="I146" s="637">
        <v>0</v>
      </c>
      <c r="J146" s="635" t="s">
        <v>104</v>
      </c>
      <c r="K146" s="635" t="s">
        <v>104</v>
      </c>
      <c r="L146" s="637">
        <v>0</v>
      </c>
      <c r="M146" s="602"/>
      <c r="N146" s="602"/>
      <c r="O146" s="602"/>
      <c r="P146" s="602"/>
      <c r="Q146" s="602"/>
      <c r="R146" s="602"/>
    </row>
    <row r="147" spans="1:18" ht="12" customHeight="1">
      <c r="A147" s="633"/>
      <c r="B147" s="636" t="s">
        <v>141</v>
      </c>
      <c r="C147" s="637">
        <v>0</v>
      </c>
      <c r="D147" s="637">
        <v>0</v>
      </c>
      <c r="E147" s="637">
        <v>0</v>
      </c>
      <c r="F147" s="637">
        <v>0</v>
      </c>
      <c r="G147" s="637">
        <v>0</v>
      </c>
      <c r="H147" s="637">
        <v>0</v>
      </c>
      <c r="I147" s="637">
        <v>0</v>
      </c>
      <c r="J147" s="635" t="s">
        <v>104</v>
      </c>
      <c r="K147" s="635" t="s">
        <v>104</v>
      </c>
      <c r="L147" s="637">
        <v>0</v>
      </c>
      <c r="M147" s="602"/>
      <c r="N147" s="602"/>
      <c r="O147" s="602"/>
      <c r="P147" s="602"/>
      <c r="Q147" s="602"/>
      <c r="R147" s="602"/>
    </row>
    <row r="148" spans="1:18" ht="12" customHeight="1">
      <c r="A148" s="633"/>
      <c r="B148" s="636" t="s">
        <v>142</v>
      </c>
      <c r="C148" s="637">
        <v>0</v>
      </c>
      <c r="D148" s="637">
        <v>0</v>
      </c>
      <c r="E148" s="637">
        <v>0</v>
      </c>
      <c r="F148" s="637">
        <v>0</v>
      </c>
      <c r="G148" s="637">
        <v>0</v>
      </c>
      <c r="H148" s="637">
        <v>0</v>
      </c>
      <c r="I148" s="637">
        <v>0</v>
      </c>
      <c r="J148" s="635" t="s">
        <v>104</v>
      </c>
      <c r="K148" s="635" t="s">
        <v>104</v>
      </c>
      <c r="L148" s="635" t="s">
        <v>104</v>
      </c>
      <c r="M148" s="602"/>
      <c r="N148" s="602"/>
      <c r="O148" s="602"/>
      <c r="P148" s="602"/>
      <c r="Q148" s="602"/>
      <c r="R148" s="602"/>
    </row>
    <row r="149" spans="1:18" ht="12" customHeight="1">
      <c r="A149" s="633"/>
      <c r="B149" s="636" t="s">
        <v>143</v>
      </c>
      <c r="C149" s="637">
        <v>0</v>
      </c>
      <c r="D149" s="637">
        <v>0</v>
      </c>
      <c r="E149" s="637">
        <v>0</v>
      </c>
      <c r="F149" s="637">
        <v>0</v>
      </c>
      <c r="G149" s="637">
        <v>0</v>
      </c>
      <c r="H149" s="637">
        <v>0</v>
      </c>
      <c r="I149" s="637">
        <v>0</v>
      </c>
      <c r="J149" s="635" t="s">
        <v>104</v>
      </c>
      <c r="K149" s="635" t="s">
        <v>104</v>
      </c>
      <c r="L149" s="635" t="s">
        <v>104</v>
      </c>
      <c r="M149" s="602"/>
      <c r="N149" s="602"/>
      <c r="O149" s="602"/>
      <c r="P149" s="602"/>
      <c r="Q149" s="602"/>
      <c r="R149" s="602"/>
    </row>
    <row r="150" spans="1:18" ht="12" customHeight="1">
      <c r="A150" s="633"/>
      <c r="B150" s="636" t="s">
        <v>144</v>
      </c>
      <c r="C150" s="637">
        <v>0</v>
      </c>
      <c r="D150" s="637">
        <v>0</v>
      </c>
      <c r="E150" s="637">
        <v>0</v>
      </c>
      <c r="F150" s="637">
        <v>0</v>
      </c>
      <c r="G150" s="637">
        <v>0</v>
      </c>
      <c r="H150" s="637">
        <v>0</v>
      </c>
      <c r="I150" s="637">
        <v>0</v>
      </c>
      <c r="J150" s="635" t="s">
        <v>104</v>
      </c>
      <c r="K150" s="635" t="s">
        <v>104</v>
      </c>
      <c r="L150" s="635" t="s">
        <v>104</v>
      </c>
      <c r="M150" s="602"/>
      <c r="N150" s="602"/>
      <c r="O150" s="602"/>
      <c r="P150" s="602"/>
      <c r="Q150" s="602"/>
      <c r="R150" s="602"/>
    </row>
    <row r="151" spans="1:18" ht="12" customHeight="1">
      <c r="A151" s="633"/>
      <c r="B151" s="636" t="s">
        <v>145</v>
      </c>
      <c r="C151" s="637">
        <v>0</v>
      </c>
      <c r="D151" s="637">
        <v>0</v>
      </c>
      <c r="E151" s="637">
        <v>0</v>
      </c>
      <c r="F151" s="637">
        <v>0</v>
      </c>
      <c r="G151" s="637">
        <v>0</v>
      </c>
      <c r="H151" s="637">
        <v>0</v>
      </c>
      <c r="I151" s="637">
        <v>0</v>
      </c>
      <c r="J151" s="635" t="s">
        <v>104</v>
      </c>
      <c r="K151" s="635" t="s">
        <v>104</v>
      </c>
      <c r="L151" s="635" t="s">
        <v>104</v>
      </c>
      <c r="M151" s="602"/>
      <c r="N151" s="602"/>
      <c r="O151" s="602"/>
      <c r="P151" s="602"/>
      <c r="Q151" s="602"/>
      <c r="R151" s="602"/>
    </row>
    <row r="152" spans="1:18" ht="12" customHeight="1">
      <c r="A152" s="633"/>
      <c r="B152" s="634"/>
      <c r="C152" s="634"/>
      <c r="D152" s="634"/>
      <c r="E152" s="634"/>
      <c r="F152" s="634"/>
      <c r="G152" s="634"/>
      <c r="H152" s="634"/>
      <c r="I152" s="634"/>
      <c r="J152" s="634"/>
      <c r="K152" s="634"/>
      <c r="L152" s="634"/>
      <c r="M152" s="602"/>
      <c r="N152" s="602"/>
      <c r="O152" s="602"/>
      <c r="P152" s="602"/>
      <c r="Q152" s="602"/>
      <c r="R152" s="602"/>
    </row>
    <row r="153" spans="1:18" ht="12" customHeight="1">
      <c r="A153" s="633"/>
      <c r="B153" s="636" t="s">
        <v>146</v>
      </c>
      <c r="C153" s="637">
        <v>10064331</v>
      </c>
      <c r="D153" s="637">
        <v>9755811</v>
      </c>
      <c r="E153" s="637">
        <v>8635709</v>
      </c>
      <c r="F153" s="637">
        <v>7699798</v>
      </c>
      <c r="G153" s="637">
        <v>5839519</v>
      </c>
      <c r="H153" s="637">
        <v>5014923</v>
      </c>
      <c r="I153" s="637">
        <v>5109244</v>
      </c>
      <c r="J153" s="637">
        <v>3195963</v>
      </c>
      <c r="K153" s="637">
        <v>2827480</v>
      </c>
      <c r="L153" s="637">
        <v>2693106</v>
      </c>
      <c r="M153" s="602"/>
      <c r="N153" s="602"/>
      <c r="O153" s="602"/>
      <c r="P153" s="602"/>
      <c r="Q153" s="602"/>
      <c r="R153" s="602"/>
    </row>
    <row r="154" spans="1:18" ht="12" customHeight="1">
      <c r="A154" s="633"/>
      <c r="B154" s="636" t="s">
        <v>147</v>
      </c>
      <c r="C154" s="637">
        <v>3214266</v>
      </c>
      <c r="D154" s="637">
        <v>2962879</v>
      </c>
      <c r="E154" s="637">
        <v>2892260</v>
      </c>
      <c r="F154" s="637">
        <v>2153497</v>
      </c>
      <c r="G154" s="637">
        <v>1885278</v>
      </c>
      <c r="H154" s="637">
        <v>1244471</v>
      </c>
      <c r="I154" s="637">
        <v>972112</v>
      </c>
      <c r="J154" s="637">
        <v>720795</v>
      </c>
      <c r="K154" s="637">
        <v>569996</v>
      </c>
      <c r="L154" s="637">
        <v>508808</v>
      </c>
      <c r="M154" s="602"/>
      <c r="N154" s="602"/>
      <c r="O154" s="602"/>
      <c r="P154" s="602"/>
      <c r="Q154" s="602"/>
      <c r="R154" s="602"/>
    </row>
    <row r="155" spans="1:18" ht="12" customHeight="1">
      <c r="A155" s="633"/>
      <c r="B155" s="636" t="s">
        <v>148</v>
      </c>
      <c r="C155" s="637">
        <v>646624</v>
      </c>
      <c r="D155" s="637">
        <v>439748</v>
      </c>
      <c r="E155" s="637">
        <v>529813</v>
      </c>
      <c r="F155" s="637">
        <v>680791</v>
      </c>
      <c r="G155" s="637">
        <v>94185</v>
      </c>
      <c r="H155" s="637">
        <v>110153</v>
      </c>
      <c r="I155" s="637">
        <v>165360</v>
      </c>
      <c r="J155" s="637">
        <v>164297</v>
      </c>
      <c r="K155" s="637">
        <v>177429</v>
      </c>
      <c r="L155" s="637">
        <v>237481</v>
      </c>
      <c r="M155" s="602"/>
      <c r="N155" s="602"/>
      <c r="O155" s="602"/>
      <c r="P155" s="602"/>
      <c r="Q155" s="602"/>
      <c r="R155" s="602"/>
    </row>
    <row r="156" spans="1:18" ht="23.25" customHeight="1">
      <c r="A156" s="633"/>
      <c r="B156" s="636" t="s">
        <v>149</v>
      </c>
      <c r="C156" s="637">
        <v>0</v>
      </c>
      <c r="D156" s="637">
        <v>0</v>
      </c>
      <c r="E156" s="637">
        <v>0</v>
      </c>
      <c r="F156" s="637">
        <v>0</v>
      </c>
      <c r="G156" s="637">
        <v>0</v>
      </c>
      <c r="H156" s="637">
        <v>0</v>
      </c>
      <c r="I156" s="637">
        <v>0</v>
      </c>
      <c r="J156" s="637">
        <v>0</v>
      </c>
      <c r="K156" s="637">
        <v>0</v>
      </c>
      <c r="L156" s="637">
        <v>0</v>
      </c>
      <c r="M156" s="602"/>
      <c r="N156" s="602"/>
      <c r="O156" s="602"/>
      <c r="P156" s="602"/>
      <c r="Q156" s="602"/>
      <c r="R156" s="602"/>
    </row>
    <row r="157" spans="1:18" ht="12" customHeight="1">
      <c r="A157" s="633"/>
      <c r="B157" s="636" t="s">
        <v>150</v>
      </c>
      <c r="C157" s="637">
        <v>0</v>
      </c>
      <c r="D157" s="637">
        <v>0</v>
      </c>
      <c r="E157" s="637">
        <v>0</v>
      </c>
      <c r="F157" s="637">
        <v>0</v>
      </c>
      <c r="G157" s="637">
        <v>0</v>
      </c>
      <c r="H157" s="637">
        <v>0</v>
      </c>
      <c r="I157" s="637">
        <v>0</v>
      </c>
      <c r="J157" s="637">
        <v>0</v>
      </c>
      <c r="K157" s="637">
        <v>0</v>
      </c>
      <c r="L157" s="637">
        <v>0</v>
      </c>
      <c r="M157" s="602"/>
      <c r="N157" s="602"/>
      <c r="O157" s="602"/>
      <c r="P157" s="602"/>
      <c r="Q157" s="602"/>
      <c r="R157" s="602"/>
    </row>
    <row r="158" spans="1:18" ht="12" customHeight="1">
      <c r="A158" s="633"/>
      <c r="B158" s="636" t="s">
        <v>151</v>
      </c>
      <c r="C158" s="637">
        <v>2567642</v>
      </c>
      <c r="D158" s="637">
        <v>2523131</v>
      </c>
      <c r="E158" s="637">
        <v>2362447</v>
      </c>
      <c r="F158" s="637">
        <v>1472706</v>
      </c>
      <c r="G158" s="637">
        <v>1791093</v>
      </c>
      <c r="H158" s="637">
        <v>1134318</v>
      </c>
      <c r="I158" s="637">
        <v>806752</v>
      </c>
      <c r="J158" s="637">
        <v>556498</v>
      </c>
      <c r="K158" s="637">
        <v>392567</v>
      </c>
      <c r="L158" s="637">
        <v>271327</v>
      </c>
      <c r="M158" s="602"/>
      <c r="N158" s="602"/>
      <c r="O158" s="602"/>
      <c r="P158" s="602"/>
      <c r="Q158" s="602"/>
      <c r="R158" s="602"/>
    </row>
    <row r="159" spans="1:18" ht="12" customHeight="1">
      <c r="A159" s="633"/>
      <c r="B159" s="636" t="s">
        <v>152</v>
      </c>
      <c r="C159" s="637">
        <v>0</v>
      </c>
      <c r="D159" s="637">
        <v>0</v>
      </c>
      <c r="E159" s="637">
        <v>0</v>
      </c>
      <c r="F159" s="637">
        <v>0</v>
      </c>
      <c r="G159" s="637">
        <v>0</v>
      </c>
      <c r="H159" s="637">
        <v>0</v>
      </c>
      <c r="I159" s="637">
        <v>0</v>
      </c>
      <c r="J159" s="637">
        <v>0</v>
      </c>
      <c r="K159" s="637">
        <v>0</v>
      </c>
      <c r="L159" s="637">
        <v>0</v>
      </c>
      <c r="M159" s="602"/>
      <c r="N159" s="602"/>
      <c r="O159" s="602"/>
      <c r="P159" s="602"/>
      <c r="Q159" s="602"/>
      <c r="R159" s="602"/>
    </row>
    <row r="160" spans="1:18" ht="12" customHeight="1">
      <c r="A160" s="633"/>
      <c r="B160" s="636" t="s">
        <v>153</v>
      </c>
      <c r="C160" s="637">
        <v>0</v>
      </c>
      <c r="D160" s="637">
        <v>0</v>
      </c>
      <c r="E160" s="637">
        <v>0</v>
      </c>
      <c r="F160" s="637">
        <v>0</v>
      </c>
      <c r="G160" s="637">
        <v>0</v>
      </c>
      <c r="H160" s="637">
        <v>0</v>
      </c>
      <c r="I160" s="637">
        <v>0</v>
      </c>
      <c r="J160" s="637">
        <v>0</v>
      </c>
      <c r="K160" s="637">
        <v>0</v>
      </c>
      <c r="L160" s="635" t="s">
        <v>104</v>
      </c>
      <c r="M160" s="602"/>
      <c r="N160" s="602"/>
      <c r="O160" s="602"/>
      <c r="P160" s="602"/>
      <c r="Q160" s="602"/>
      <c r="R160" s="602"/>
    </row>
    <row r="161" spans="1:18" ht="12" customHeight="1">
      <c r="A161" s="633"/>
      <c r="B161" s="634"/>
      <c r="C161" s="634"/>
      <c r="D161" s="634"/>
      <c r="E161" s="634"/>
      <c r="F161" s="634"/>
      <c r="G161" s="634"/>
      <c r="H161" s="634"/>
      <c r="I161" s="634"/>
      <c r="J161" s="634"/>
      <c r="K161" s="634"/>
      <c r="L161" s="634"/>
      <c r="M161" s="602"/>
      <c r="N161" s="602"/>
      <c r="O161" s="602"/>
      <c r="P161" s="602"/>
      <c r="Q161" s="602"/>
      <c r="R161" s="602"/>
    </row>
    <row r="162" spans="1:18" ht="12" customHeight="1">
      <c r="A162" s="633"/>
      <c r="B162" s="636" t="s">
        <v>154</v>
      </c>
      <c r="C162" s="637">
        <v>5629690</v>
      </c>
      <c r="D162" s="637">
        <v>6368430</v>
      </c>
      <c r="E162" s="637">
        <v>5081312</v>
      </c>
      <c r="F162" s="637">
        <v>5456367</v>
      </c>
      <c r="G162" s="637">
        <v>3520108</v>
      </c>
      <c r="H162" s="637">
        <v>3697489</v>
      </c>
      <c r="I162" s="637">
        <v>4095233</v>
      </c>
      <c r="J162" s="637">
        <v>2407039</v>
      </c>
      <c r="K162" s="637">
        <v>2225766</v>
      </c>
      <c r="L162" s="637">
        <v>2164541</v>
      </c>
      <c r="M162" s="602"/>
      <c r="N162" s="602"/>
      <c r="O162" s="602"/>
      <c r="P162" s="602"/>
      <c r="Q162" s="602"/>
      <c r="R162" s="602"/>
    </row>
    <row r="163" spans="1:18" ht="12" customHeight="1">
      <c r="A163" s="633"/>
      <c r="B163" s="643" t="s">
        <v>155</v>
      </c>
      <c r="C163" s="644">
        <v>932951</v>
      </c>
      <c r="D163" s="644">
        <v>899391</v>
      </c>
      <c r="E163" s="644">
        <v>1367114</v>
      </c>
      <c r="F163" s="644">
        <v>1268047</v>
      </c>
      <c r="G163" s="644">
        <v>1192500</v>
      </c>
      <c r="H163" s="644">
        <v>2325766</v>
      </c>
      <c r="I163" s="644">
        <v>2678783</v>
      </c>
      <c r="J163" s="644">
        <v>1561872</v>
      </c>
      <c r="K163" s="644">
        <v>1295857</v>
      </c>
      <c r="L163" s="644">
        <v>1345704</v>
      </c>
      <c r="M163" s="602"/>
      <c r="N163" s="602"/>
      <c r="O163" s="602"/>
      <c r="P163" s="602"/>
      <c r="Q163" s="602"/>
      <c r="R163" s="602"/>
    </row>
    <row r="164" spans="1:18" ht="12" customHeight="1">
      <c r="A164" s="633"/>
      <c r="B164" s="643" t="s">
        <v>156</v>
      </c>
      <c r="C164" s="644">
        <v>0</v>
      </c>
      <c r="D164" s="644">
        <v>0</v>
      </c>
      <c r="E164" s="644">
        <v>0</v>
      </c>
      <c r="F164" s="644">
        <v>0</v>
      </c>
      <c r="G164" s="644">
        <v>0</v>
      </c>
      <c r="H164" s="644">
        <v>0</v>
      </c>
      <c r="I164" s="644">
        <v>0</v>
      </c>
      <c r="J164" s="644">
        <v>0</v>
      </c>
      <c r="K164" s="644">
        <v>0</v>
      </c>
      <c r="L164" s="644">
        <v>0</v>
      </c>
      <c r="M164" s="602"/>
      <c r="N164" s="602"/>
      <c r="O164" s="602"/>
      <c r="P164" s="602"/>
      <c r="Q164" s="602"/>
      <c r="R164" s="602"/>
    </row>
    <row r="165" spans="1:18" ht="12" customHeight="1">
      <c r="A165" s="633"/>
      <c r="B165" s="643" t="s">
        <v>157</v>
      </c>
      <c r="C165" s="644">
        <v>3487309</v>
      </c>
      <c r="D165" s="644">
        <v>3700407</v>
      </c>
      <c r="E165" s="644">
        <v>3039824</v>
      </c>
      <c r="F165" s="644">
        <v>3212819</v>
      </c>
      <c r="G165" s="644">
        <v>1976426</v>
      </c>
      <c r="H165" s="644">
        <v>695190</v>
      </c>
      <c r="I165" s="644">
        <v>906262</v>
      </c>
      <c r="J165" s="645" t="s">
        <v>104</v>
      </c>
      <c r="K165" s="645" t="s">
        <v>104</v>
      </c>
      <c r="L165" s="645" t="s">
        <v>104</v>
      </c>
      <c r="M165" s="602"/>
      <c r="N165" s="602"/>
      <c r="O165" s="602"/>
      <c r="P165" s="602"/>
      <c r="Q165" s="602"/>
      <c r="R165" s="602"/>
    </row>
    <row r="166" spans="1:18" ht="23.25" customHeight="1">
      <c r="A166" s="633"/>
      <c r="B166" s="643" t="s">
        <v>158</v>
      </c>
      <c r="C166" s="644">
        <v>0</v>
      </c>
      <c r="D166" s="644">
        <v>0</v>
      </c>
      <c r="E166" s="644">
        <v>0</v>
      </c>
      <c r="F166" s="644">
        <v>0</v>
      </c>
      <c r="G166" s="644">
        <v>0</v>
      </c>
      <c r="H166" s="644">
        <v>0</v>
      </c>
      <c r="I166" s="644">
        <v>0</v>
      </c>
      <c r="J166" s="644">
        <v>0</v>
      </c>
      <c r="K166" s="644">
        <v>0</v>
      </c>
      <c r="L166" s="644">
        <v>0</v>
      </c>
      <c r="M166" s="602"/>
      <c r="N166" s="602"/>
      <c r="O166" s="602"/>
      <c r="P166" s="602"/>
      <c r="Q166" s="602"/>
      <c r="R166" s="602"/>
    </row>
    <row r="167" spans="1:18" ht="12" customHeight="1">
      <c r="A167" s="633"/>
      <c r="B167" s="643" t="s">
        <v>159</v>
      </c>
      <c r="C167" s="644">
        <v>0</v>
      </c>
      <c r="D167" s="644">
        <v>0</v>
      </c>
      <c r="E167" s="644">
        <v>0</v>
      </c>
      <c r="F167" s="644">
        <v>0</v>
      </c>
      <c r="G167" s="644">
        <v>0</v>
      </c>
      <c r="H167" s="644">
        <v>0</v>
      </c>
      <c r="I167" s="644">
        <v>0</v>
      </c>
      <c r="J167" s="644">
        <v>0</v>
      </c>
      <c r="K167" s="644">
        <v>0</v>
      </c>
      <c r="L167" s="644">
        <v>0</v>
      </c>
      <c r="M167" s="602"/>
      <c r="N167" s="602"/>
      <c r="O167" s="602"/>
      <c r="P167" s="602"/>
      <c r="Q167" s="602"/>
      <c r="R167" s="602"/>
    </row>
    <row r="168" spans="1:18" ht="23.25" customHeight="1">
      <c r="A168" s="633"/>
      <c r="B168" s="643" t="s">
        <v>160</v>
      </c>
      <c r="C168" s="644">
        <v>0</v>
      </c>
      <c r="D168" s="644">
        <v>0</v>
      </c>
      <c r="E168" s="644">
        <v>0</v>
      </c>
      <c r="F168" s="644">
        <v>0</v>
      </c>
      <c r="G168" s="644">
        <v>0</v>
      </c>
      <c r="H168" s="644">
        <v>0</v>
      </c>
      <c r="I168" s="644">
        <v>0</v>
      </c>
      <c r="J168" s="644">
        <v>0</v>
      </c>
      <c r="K168" s="644">
        <v>0</v>
      </c>
      <c r="L168" s="644">
        <v>0</v>
      </c>
      <c r="M168" s="602"/>
      <c r="N168" s="602"/>
      <c r="O168" s="602"/>
      <c r="P168" s="602"/>
      <c r="Q168" s="602"/>
      <c r="R168" s="602"/>
    </row>
    <row r="169" spans="1:18" ht="12" customHeight="1">
      <c r="A169" s="633"/>
      <c r="B169" s="643" t="s">
        <v>161</v>
      </c>
      <c r="C169" s="644">
        <v>0</v>
      </c>
      <c r="D169" s="644">
        <v>0</v>
      </c>
      <c r="E169" s="644">
        <v>0</v>
      </c>
      <c r="F169" s="644">
        <v>0</v>
      </c>
      <c r="G169" s="644">
        <v>0</v>
      </c>
      <c r="H169" s="644">
        <v>0</v>
      </c>
      <c r="I169" s="644">
        <v>0</v>
      </c>
      <c r="J169" s="644">
        <v>0</v>
      </c>
      <c r="K169" s="644">
        <v>0</v>
      </c>
      <c r="L169" s="644">
        <v>0</v>
      </c>
      <c r="M169" s="602"/>
      <c r="N169" s="602"/>
      <c r="O169" s="602"/>
      <c r="P169" s="602"/>
      <c r="Q169" s="602"/>
      <c r="R169" s="602"/>
    </row>
    <row r="170" spans="1:18" ht="23.25" customHeight="1">
      <c r="A170" s="633"/>
      <c r="B170" s="643" t="s">
        <v>162</v>
      </c>
      <c r="C170" s="644">
        <v>0</v>
      </c>
      <c r="D170" s="644">
        <v>0</v>
      </c>
      <c r="E170" s="644">
        <v>0</v>
      </c>
      <c r="F170" s="644">
        <v>0</v>
      </c>
      <c r="G170" s="644">
        <v>0</v>
      </c>
      <c r="H170" s="644">
        <v>0</v>
      </c>
      <c r="I170" s="644">
        <v>0</v>
      </c>
      <c r="J170" s="644">
        <v>0</v>
      </c>
      <c r="K170" s="644">
        <v>0</v>
      </c>
      <c r="L170" s="644">
        <v>0</v>
      </c>
      <c r="M170" s="602"/>
      <c r="N170" s="602"/>
      <c r="O170" s="602"/>
      <c r="P170" s="602"/>
      <c r="Q170" s="602"/>
      <c r="R170" s="602"/>
    </row>
    <row r="171" spans="1:18" ht="23.25" customHeight="1">
      <c r="A171" s="633"/>
      <c r="B171" s="643" t="s">
        <v>163</v>
      </c>
      <c r="C171" s="644">
        <v>0</v>
      </c>
      <c r="D171" s="644">
        <v>0</v>
      </c>
      <c r="E171" s="644">
        <v>0</v>
      </c>
      <c r="F171" s="644">
        <v>0</v>
      </c>
      <c r="G171" s="644">
        <v>0</v>
      </c>
      <c r="H171" s="644">
        <v>0</v>
      </c>
      <c r="I171" s="644">
        <v>0</v>
      </c>
      <c r="J171" s="644">
        <v>0</v>
      </c>
      <c r="K171" s="644">
        <v>0</v>
      </c>
      <c r="L171" s="645" t="s">
        <v>104</v>
      </c>
      <c r="M171" s="602"/>
      <c r="N171" s="602"/>
      <c r="O171" s="602"/>
      <c r="P171" s="602"/>
      <c r="Q171" s="602"/>
      <c r="R171" s="602"/>
    </row>
    <row r="172" spans="1:18" ht="23.25" customHeight="1">
      <c r="A172" s="633"/>
      <c r="B172" s="643" t="s">
        <v>164</v>
      </c>
      <c r="C172" s="644">
        <v>0</v>
      </c>
      <c r="D172" s="644">
        <v>0</v>
      </c>
      <c r="E172" s="644">
        <v>0</v>
      </c>
      <c r="F172" s="644">
        <v>0</v>
      </c>
      <c r="G172" s="644">
        <v>0</v>
      </c>
      <c r="H172" s="644">
        <v>0</v>
      </c>
      <c r="I172" s="644">
        <v>0</v>
      </c>
      <c r="J172" s="644">
        <v>0</v>
      </c>
      <c r="K172" s="644">
        <v>0</v>
      </c>
      <c r="L172" s="645" t="s">
        <v>104</v>
      </c>
      <c r="M172" s="602"/>
      <c r="N172" s="602"/>
      <c r="O172" s="602"/>
      <c r="P172" s="602"/>
      <c r="Q172" s="602"/>
      <c r="R172" s="602"/>
    </row>
    <row r="173" spans="1:18" ht="12" customHeight="1">
      <c r="A173" s="633"/>
      <c r="B173" s="643" t="s">
        <v>165</v>
      </c>
      <c r="C173" s="644">
        <v>948471</v>
      </c>
      <c r="D173" s="644">
        <v>1340987</v>
      </c>
      <c r="E173" s="644">
        <v>117437</v>
      </c>
      <c r="F173" s="644">
        <v>88788</v>
      </c>
      <c r="G173" s="644">
        <v>110232</v>
      </c>
      <c r="H173" s="644">
        <v>376896</v>
      </c>
      <c r="I173" s="644">
        <v>17259</v>
      </c>
      <c r="J173" s="644">
        <v>26818</v>
      </c>
      <c r="K173" s="644">
        <v>1897</v>
      </c>
      <c r="L173" s="644">
        <v>4654</v>
      </c>
      <c r="M173" s="602"/>
      <c r="N173" s="602"/>
      <c r="O173" s="602"/>
      <c r="P173" s="602"/>
      <c r="Q173" s="602"/>
      <c r="R173" s="602"/>
    </row>
    <row r="174" spans="1:18" ht="12" customHeight="1">
      <c r="A174" s="633"/>
      <c r="B174" s="643" t="s">
        <v>166</v>
      </c>
      <c r="C174" s="644">
        <v>0</v>
      </c>
      <c r="D174" s="644">
        <v>0</v>
      </c>
      <c r="E174" s="644">
        <v>0</v>
      </c>
      <c r="F174" s="644">
        <v>0</v>
      </c>
      <c r="G174" s="644">
        <v>0</v>
      </c>
      <c r="H174" s="644">
        <v>0</v>
      </c>
      <c r="I174" s="644">
        <v>0</v>
      </c>
      <c r="J174" s="644">
        <v>0</v>
      </c>
      <c r="K174" s="644">
        <v>0</v>
      </c>
      <c r="L174" s="644">
        <v>0</v>
      </c>
      <c r="M174" s="602"/>
      <c r="N174" s="602"/>
      <c r="O174" s="602"/>
      <c r="P174" s="602"/>
      <c r="Q174" s="602"/>
      <c r="R174" s="602"/>
    </row>
    <row r="175" spans="1:18" ht="12" customHeight="1">
      <c r="A175" s="633"/>
      <c r="B175" s="643" t="s">
        <v>167</v>
      </c>
      <c r="C175" s="644">
        <v>0</v>
      </c>
      <c r="D175" s="644">
        <v>0</v>
      </c>
      <c r="E175" s="644">
        <v>0</v>
      </c>
      <c r="F175" s="644">
        <v>0</v>
      </c>
      <c r="G175" s="644">
        <v>0</v>
      </c>
      <c r="H175" s="644">
        <v>0</v>
      </c>
      <c r="I175" s="644">
        <v>0</v>
      </c>
      <c r="J175" s="644">
        <v>0</v>
      </c>
      <c r="K175" s="644">
        <v>0</v>
      </c>
      <c r="L175" s="644">
        <v>0</v>
      </c>
      <c r="M175" s="602"/>
      <c r="N175" s="602"/>
      <c r="O175" s="602"/>
      <c r="P175" s="602"/>
      <c r="Q175" s="602"/>
      <c r="R175" s="602"/>
    </row>
    <row r="176" spans="1:18" ht="23.25" customHeight="1">
      <c r="A176" s="633"/>
      <c r="B176" s="643" t="s">
        <v>168</v>
      </c>
      <c r="C176" s="644">
        <v>0</v>
      </c>
      <c r="D176" s="644">
        <v>0</v>
      </c>
      <c r="E176" s="644">
        <v>0</v>
      </c>
      <c r="F176" s="644">
        <v>0</v>
      </c>
      <c r="G176" s="644">
        <v>0</v>
      </c>
      <c r="H176" s="644">
        <v>0</v>
      </c>
      <c r="I176" s="644">
        <v>0</v>
      </c>
      <c r="J176" s="644">
        <v>0</v>
      </c>
      <c r="K176" s="644">
        <v>0</v>
      </c>
      <c r="L176" s="644">
        <v>0</v>
      </c>
      <c r="M176" s="602"/>
      <c r="N176" s="602"/>
      <c r="O176" s="602"/>
      <c r="P176" s="602"/>
      <c r="Q176" s="602"/>
      <c r="R176" s="602"/>
    </row>
    <row r="177" spans="1:18" ht="12" customHeight="1">
      <c r="A177" s="633"/>
      <c r="B177" s="643" t="s">
        <v>169</v>
      </c>
      <c r="C177" s="644">
        <v>260959</v>
      </c>
      <c r="D177" s="644">
        <v>427645</v>
      </c>
      <c r="E177" s="644">
        <v>556937</v>
      </c>
      <c r="F177" s="644">
        <v>886713</v>
      </c>
      <c r="G177" s="644">
        <v>240950</v>
      </c>
      <c r="H177" s="644">
        <v>299637</v>
      </c>
      <c r="I177" s="644">
        <v>492929</v>
      </c>
      <c r="J177" s="644">
        <v>225770</v>
      </c>
      <c r="K177" s="644">
        <v>331433</v>
      </c>
      <c r="L177" s="644">
        <v>259183</v>
      </c>
      <c r="M177" s="602"/>
      <c r="N177" s="602"/>
      <c r="O177" s="602"/>
      <c r="P177" s="602"/>
      <c r="Q177" s="602"/>
      <c r="R177" s="602"/>
    </row>
    <row r="178" spans="1:18" ht="23.25" customHeight="1">
      <c r="A178" s="633"/>
      <c r="B178" s="643" t="s">
        <v>170</v>
      </c>
      <c r="C178" s="644">
        <v>0</v>
      </c>
      <c r="D178" s="644">
        <v>0</v>
      </c>
      <c r="E178" s="644">
        <v>0</v>
      </c>
      <c r="F178" s="644">
        <v>0</v>
      </c>
      <c r="G178" s="644">
        <v>0</v>
      </c>
      <c r="H178" s="644">
        <v>0</v>
      </c>
      <c r="I178" s="644">
        <v>0</v>
      </c>
      <c r="J178" s="644">
        <v>0</v>
      </c>
      <c r="K178" s="644">
        <v>0</v>
      </c>
      <c r="L178" s="644">
        <v>0</v>
      </c>
      <c r="M178" s="602"/>
      <c r="N178" s="602"/>
      <c r="O178" s="602"/>
      <c r="P178" s="602"/>
      <c r="Q178" s="602"/>
      <c r="R178" s="602"/>
    </row>
    <row r="179" spans="1:18" ht="12" customHeight="1">
      <c r="A179" s="633"/>
      <c r="B179" s="643" t="s">
        <v>171</v>
      </c>
      <c r="C179" s="644">
        <v>5629690</v>
      </c>
      <c r="D179" s="644">
        <v>6368430</v>
      </c>
      <c r="E179" s="644">
        <v>5081312</v>
      </c>
      <c r="F179" s="644">
        <v>5456367</v>
      </c>
      <c r="G179" s="644">
        <v>3520108</v>
      </c>
      <c r="H179" s="644">
        <v>3697489</v>
      </c>
      <c r="I179" s="644">
        <v>4095233</v>
      </c>
      <c r="J179" s="644">
        <v>2407039</v>
      </c>
      <c r="K179" s="644">
        <v>2225766</v>
      </c>
      <c r="L179" s="644">
        <v>2164541</v>
      </c>
      <c r="M179" s="602"/>
      <c r="N179" s="602"/>
      <c r="O179" s="602"/>
      <c r="P179" s="602"/>
      <c r="Q179" s="602"/>
      <c r="R179" s="602"/>
    </row>
    <row r="180" spans="1:18" ht="12" customHeight="1">
      <c r="A180" s="633"/>
      <c r="B180" s="643" t="s">
        <v>172</v>
      </c>
      <c r="C180" s="645" t="s">
        <v>104</v>
      </c>
      <c r="D180" s="645" t="s">
        <v>104</v>
      </c>
      <c r="E180" s="645" t="s">
        <v>104</v>
      </c>
      <c r="F180" s="645" t="s">
        <v>104</v>
      </c>
      <c r="G180" s="645" t="s">
        <v>104</v>
      </c>
      <c r="H180" s="645" t="s">
        <v>104</v>
      </c>
      <c r="I180" s="645" t="s">
        <v>104</v>
      </c>
      <c r="J180" s="645" t="s">
        <v>104</v>
      </c>
      <c r="K180" s="645" t="s">
        <v>104</v>
      </c>
      <c r="L180" s="645" t="s">
        <v>104</v>
      </c>
      <c r="M180" s="602"/>
      <c r="N180" s="602"/>
      <c r="O180" s="602"/>
      <c r="P180" s="602"/>
      <c r="Q180" s="602"/>
      <c r="R180" s="602"/>
    </row>
    <row r="181" spans="1:18" ht="12" customHeight="1">
      <c r="A181" s="633"/>
      <c r="B181" s="643" t="s">
        <v>173</v>
      </c>
      <c r="C181" s="644">
        <v>0</v>
      </c>
      <c r="D181" s="644">
        <v>0</v>
      </c>
      <c r="E181" s="644">
        <v>0</v>
      </c>
      <c r="F181" s="644">
        <v>0</v>
      </c>
      <c r="G181" s="644">
        <v>0</v>
      </c>
      <c r="H181" s="644">
        <v>0</v>
      </c>
      <c r="I181" s="644">
        <v>0</v>
      </c>
      <c r="J181" s="644">
        <v>0</v>
      </c>
      <c r="K181" s="644">
        <v>0</v>
      </c>
      <c r="L181" s="644">
        <v>0</v>
      </c>
      <c r="M181" s="602"/>
      <c r="N181" s="602"/>
      <c r="O181" s="602"/>
      <c r="P181" s="602"/>
      <c r="Q181" s="602"/>
      <c r="R181" s="602"/>
    </row>
    <row r="182" spans="1:18" ht="12" customHeight="1">
      <c r="A182" s="633"/>
      <c r="B182" s="634"/>
      <c r="C182" s="634"/>
      <c r="D182" s="634"/>
      <c r="E182" s="634"/>
      <c r="F182" s="634"/>
      <c r="G182" s="634"/>
      <c r="H182" s="634"/>
      <c r="I182" s="634"/>
      <c r="J182" s="634"/>
      <c r="K182" s="634"/>
      <c r="L182" s="634"/>
      <c r="M182" s="602"/>
      <c r="N182" s="602"/>
      <c r="O182" s="602"/>
      <c r="P182" s="602"/>
      <c r="Q182" s="602"/>
      <c r="R182" s="602"/>
    </row>
    <row r="183" spans="1:18" ht="12" customHeight="1">
      <c r="A183" s="633"/>
      <c r="B183" s="636" t="s">
        <v>174</v>
      </c>
      <c r="C183" s="637">
        <v>0</v>
      </c>
      <c r="D183" s="637">
        <v>0</v>
      </c>
      <c r="E183" s="637">
        <v>0</v>
      </c>
      <c r="F183" s="637">
        <v>0</v>
      </c>
      <c r="G183" s="637">
        <v>0</v>
      </c>
      <c r="H183" s="637">
        <v>0</v>
      </c>
      <c r="I183" s="637">
        <v>0</v>
      </c>
      <c r="J183" s="637">
        <v>0</v>
      </c>
      <c r="K183" s="637">
        <v>0</v>
      </c>
      <c r="L183" s="637">
        <v>0</v>
      </c>
      <c r="M183" s="602"/>
      <c r="N183" s="602"/>
      <c r="O183" s="602"/>
      <c r="P183" s="602"/>
      <c r="Q183" s="602"/>
      <c r="R183" s="602"/>
    </row>
    <row r="184" spans="1:18" ht="12" customHeight="1">
      <c r="A184" s="633"/>
      <c r="B184" s="636" t="s">
        <v>175</v>
      </c>
      <c r="C184" s="637">
        <v>0</v>
      </c>
      <c r="D184" s="637">
        <v>0</v>
      </c>
      <c r="E184" s="637">
        <v>0</v>
      </c>
      <c r="F184" s="637">
        <v>0</v>
      </c>
      <c r="G184" s="637">
        <v>0</v>
      </c>
      <c r="H184" s="637">
        <v>0</v>
      </c>
      <c r="I184" s="637">
        <v>0</v>
      </c>
      <c r="J184" s="637">
        <v>0</v>
      </c>
      <c r="K184" s="637">
        <v>0</v>
      </c>
      <c r="L184" s="637">
        <v>0</v>
      </c>
      <c r="M184" s="602"/>
      <c r="N184" s="602"/>
      <c r="O184" s="602"/>
      <c r="P184" s="602"/>
      <c r="Q184" s="602"/>
      <c r="R184" s="602"/>
    </row>
    <row r="185" spans="1:18" ht="12" customHeight="1">
      <c r="A185" s="633"/>
      <c r="B185" s="636" t="s">
        <v>176</v>
      </c>
      <c r="C185" s="637">
        <v>0</v>
      </c>
      <c r="D185" s="637">
        <v>0</v>
      </c>
      <c r="E185" s="637">
        <v>0</v>
      </c>
      <c r="F185" s="637">
        <v>0</v>
      </c>
      <c r="G185" s="637">
        <v>0</v>
      </c>
      <c r="H185" s="637">
        <v>0</v>
      </c>
      <c r="I185" s="637">
        <v>0</v>
      </c>
      <c r="J185" s="637">
        <v>0</v>
      </c>
      <c r="K185" s="637">
        <v>0</v>
      </c>
      <c r="L185" s="637">
        <v>0</v>
      </c>
      <c r="M185" s="602"/>
      <c r="N185" s="602"/>
      <c r="O185" s="602"/>
      <c r="P185" s="602"/>
      <c r="Q185" s="602"/>
      <c r="R185" s="602"/>
    </row>
    <row r="186" spans="1:18" ht="12" customHeight="1">
      <c r="A186" s="633"/>
      <c r="B186" s="636" t="s">
        <v>177</v>
      </c>
      <c r="C186" s="637">
        <v>0</v>
      </c>
      <c r="D186" s="637">
        <v>0</v>
      </c>
      <c r="E186" s="637">
        <v>0</v>
      </c>
      <c r="F186" s="637">
        <v>0</v>
      </c>
      <c r="G186" s="637">
        <v>0</v>
      </c>
      <c r="H186" s="637">
        <v>0</v>
      </c>
      <c r="I186" s="637">
        <v>0</v>
      </c>
      <c r="J186" s="637">
        <v>0</v>
      </c>
      <c r="K186" s="637">
        <v>0</v>
      </c>
      <c r="L186" s="637">
        <v>0</v>
      </c>
      <c r="M186" s="602"/>
      <c r="N186" s="602"/>
      <c r="O186" s="602"/>
      <c r="P186" s="602"/>
      <c r="Q186" s="602"/>
      <c r="R186" s="602"/>
    </row>
    <row r="187" spans="1:18" ht="23.25" customHeight="1">
      <c r="A187" s="633"/>
      <c r="B187" s="636" t="s">
        <v>178</v>
      </c>
      <c r="C187" s="637">
        <v>0</v>
      </c>
      <c r="D187" s="637">
        <v>0</v>
      </c>
      <c r="E187" s="637">
        <v>0</v>
      </c>
      <c r="F187" s="637">
        <v>0</v>
      </c>
      <c r="G187" s="637">
        <v>0</v>
      </c>
      <c r="H187" s="637">
        <v>0</v>
      </c>
      <c r="I187" s="637">
        <v>0</v>
      </c>
      <c r="J187" s="637">
        <v>0</v>
      </c>
      <c r="K187" s="637">
        <v>0</v>
      </c>
      <c r="L187" s="635" t="s">
        <v>104</v>
      </c>
      <c r="M187" s="602"/>
      <c r="N187" s="602"/>
      <c r="O187" s="602"/>
      <c r="P187" s="602"/>
      <c r="Q187" s="602"/>
      <c r="R187" s="602"/>
    </row>
    <row r="188" spans="1:18" ht="12" customHeight="1">
      <c r="A188" s="633"/>
      <c r="B188" s="636" t="s">
        <v>179</v>
      </c>
      <c r="C188" s="637">
        <v>0</v>
      </c>
      <c r="D188" s="637">
        <v>0</v>
      </c>
      <c r="E188" s="637">
        <v>0</v>
      </c>
      <c r="F188" s="637">
        <v>0</v>
      </c>
      <c r="G188" s="637">
        <v>0</v>
      </c>
      <c r="H188" s="637">
        <v>0</v>
      </c>
      <c r="I188" s="637">
        <v>0</v>
      </c>
      <c r="J188" s="637">
        <v>0</v>
      </c>
      <c r="K188" s="637">
        <v>0</v>
      </c>
      <c r="L188" s="637">
        <v>0</v>
      </c>
      <c r="M188" s="602"/>
      <c r="N188" s="602"/>
      <c r="O188" s="602"/>
      <c r="P188" s="602"/>
      <c r="Q188" s="602"/>
      <c r="R188" s="602"/>
    </row>
    <row r="189" spans="1:18" ht="12" customHeight="1">
      <c r="A189" s="633"/>
      <c r="B189" s="636" t="s">
        <v>180</v>
      </c>
      <c r="C189" s="637">
        <v>0</v>
      </c>
      <c r="D189" s="637">
        <v>0</v>
      </c>
      <c r="E189" s="637">
        <v>0</v>
      </c>
      <c r="F189" s="637">
        <v>0</v>
      </c>
      <c r="G189" s="637">
        <v>0</v>
      </c>
      <c r="H189" s="637">
        <v>0</v>
      </c>
      <c r="I189" s="637">
        <v>0</v>
      </c>
      <c r="J189" s="637">
        <v>0</v>
      </c>
      <c r="K189" s="637">
        <v>0</v>
      </c>
      <c r="L189" s="637">
        <v>0</v>
      </c>
      <c r="M189" s="602"/>
      <c r="N189" s="602"/>
      <c r="O189" s="602"/>
      <c r="P189" s="602"/>
      <c r="Q189" s="602"/>
      <c r="R189" s="602"/>
    </row>
    <row r="190" spans="1:18" ht="12" customHeight="1">
      <c r="A190" s="633"/>
      <c r="B190" s="636" t="s">
        <v>145</v>
      </c>
      <c r="C190" s="637">
        <v>0</v>
      </c>
      <c r="D190" s="637">
        <v>0</v>
      </c>
      <c r="E190" s="637">
        <v>0</v>
      </c>
      <c r="F190" s="637">
        <v>0</v>
      </c>
      <c r="G190" s="637">
        <v>0</v>
      </c>
      <c r="H190" s="637">
        <v>0</v>
      </c>
      <c r="I190" s="637">
        <v>0</v>
      </c>
      <c r="J190" s="637">
        <v>0</v>
      </c>
      <c r="K190" s="637">
        <v>0</v>
      </c>
      <c r="L190" s="637">
        <v>0</v>
      </c>
      <c r="M190" s="602"/>
      <c r="N190" s="602"/>
      <c r="O190" s="602"/>
      <c r="P190" s="602"/>
      <c r="Q190" s="602"/>
      <c r="R190" s="602"/>
    </row>
    <row r="191" spans="1:18" ht="12" customHeight="1">
      <c r="A191" s="633"/>
      <c r="B191" s="636" t="s">
        <v>181</v>
      </c>
      <c r="C191" s="637">
        <v>0</v>
      </c>
      <c r="D191" s="637">
        <v>0</v>
      </c>
      <c r="E191" s="637">
        <v>0</v>
      </c>
      <c r="F191" s="637">
        <v>0</v>
      </c>
      <c r="G191" s="637">
        <v>0</v>
      </c>
      <c r="H191" s="637">
        <v>0</v>
      </c>
      <c r="I191" s="637">
        <v>0</v>
      </c>
      <c r="J191" s="637">
        <v>0</v>
      </c>
      <c r="K191" s="637">
        <v>0</v>
      </c>
      <c r="L191" s="635" t="s">
        <v>104</v>
      </c>
      <c r="M191" s="602"/>
      <c r="N191" s="602"/>
      <c r="O191" s="602"/>
      <c r="P191" s="602"/>
      <c r="Q191" s="602"/>
      <c r="R191" s="602"/>
    </row>
    <row r="192" spans="1:18" ht="12" customHeight="1">
      <c r="A192" s="633"/>
      <c r="B192" s="636" t="s">
        <v>182</v>
      </c>
      <c r="C192" s="637">
        <v>0</v>
      </c>
      <c r="D192" s="637">
        <v>0</v>
      </c>
      <c r="E192" s="637">
        <v>0</v>
      </c>
      <c r="F192" s="637">
        <v>0</v>
      </c>
      <c r="G192" s="637">
        <v>0</v>
      </c>
      <c r="H192" s="637">
        <v>0</v>
      </c>
      <c r="I192" s="637">
        <v>0</v>
      </c>
      <c r="J192" s="637">
        <v>0</v>
      </c>
      <c r="K192" s="637">
        <v>0</v>
      </c>
      <c r="L192" s="637">
        <v>0</v>
      </c>
      <c r="M192" s="602"/>
      <c r="N192" s="602"/>
      <c r="O192" s="602"/>
      <c r="P192" s="602"/>
      <c r="Q192" s="602"/>
      <c r="R192" s="602"/>
    </row>
    <row r="193" spans="1:18" ht="12" customHeight="1">
      <c r="A193" s="633"/>
      <c r="B193" s="636" t="s">
        <v>183</v>
      </c>
      <c r="C193" s="637">
        <v>0</v>
      </c>
      <c r="D193" s="637">
        <v>0</v>
      </c>
      <c r="E193" s="637">
        <v>0</v>
      </c>
      <c r="F193" s="637">
        <v>0</v>
      </c>
      <c r="G193" s="637">
        <v>0</v>
      </c>
      <c r="H193" s="637">
        <v>0</v>
      </c>
      <c r="I193" s="637">
        <v>0</v>
      </c>
      <c r="J193" s="637">
        <v>0</v>
      </c>
      <c r="K193" s="637">
        <v>0</v>
      </c>
      <c r="L193" s="635" t="s">
        <v>104</v>
      </c>
      <c r="M193" s="602"/>
      <c r="N193" s="602"/>
      <c r="O193" s="602"/>
      <c r="P193" s="602"/>
      <c r="Q193" s="602"/>
      <c r="R193" s="602"/>
    </row>
    <row r="194" spans="1:18" ht="12" customHeight="1">
      <c r="A194" s="633"/>
      <c r="B194" s="634"/>
      <c r="C194" s="634"/>
      <c r="D194" s="634"/>
      <c r="E194" s="634"/>
      <c r="F194" s="634"/>
      <c r="G194" s="634"/>
      <c r="H194" s="634"/>
      <c r="I194" s="634"/>
      <c r="J194" s="634"/>
      <c r="K194" s="634"/>
      <c r="L194" s="634"/>
      <c r="M194" s="602"/>
      <c r="N194" s="602"/>
      <c r="O194" s="602"/>
      <c r="P194" s="602"/>
      <c r="Q194" s="602"/>
      <c r="R194" s="602"/>
    </row>
    <row r="195" spans="1:18" ht="12" customHeight="1">
      <c r="A195" s="633"/>
      <c r="B195" s="636" t="s">
        <v>184</v>
      </c>
      <c r="C195" s="637">
        <v>1220375</v>
      </c>
      <c r="D195" s="637">
        <v>424502</v>
      </c>
      <c r="E195" s="637">
        <v>662137</v>
      </c>
      <c r="F195" s="637">
        <v>89934</v>
      </c>
      <c r="G195" s="637">
        <v>434133</v>
      </c>
      <c r="H195" s="637">
        <v>72963</v>
      </c>
      <c r="I195" s="637">
        <v>41899</v>
      </c>
      <c r="J195" s="637">
        <v>68129</v>
      </c>
      <c r="K195" s="637">
        <v>31718</v>
      </c>
      <c r="L195" s="637">
        <v>19757</v>
      </c>
      <c r="M195" s="602"/>
      <c r="N195" s="602"/>
      <c r="O195" s="602"/>
      <c r="P195" s="602"/>
      <c r="Q195" s="602"/>
      <c r="R195" s="602"/>
    </row>
    <row r="196" spans="1:18" ht="12" customHeight="1">
      <c r="A196" s="633"/>
      <c r="B196" s="636" t="s">
        <v>185</v>
      </c>
      <c r="C196" s="637">
        <v>1204970</v>
      </c>
      <c r="D196" s="637">
        <v>394963</v>
      </c>
      <c r="E196" s="637">
        <v>645213</v>
      </c>
      <c r="F196" s="637">
        <v>80730</v>
      </c>
      <c r="G196" s="637">
        <v>428005</v>
      </c>
      <c r="H196" s="637">
        <v>68090</v>
      </c>
      <c r="I196" s="637">
        <v>35003</v>
      </c>
      <c r="J196" s="637">
        <v>54621</v>
      </c>
      <c r="K196" s="637">
        <v>30105</v>
      </c>
      <c r="L196" s="637">
        <v>19030</v>
      </c>
      <c r="M196" s="602"/>
      <c r="N196" s="602"/>
      <c r="O196" s="602"/>
      <c r="P196" s="602"/>
      <c r="Q196" s="602"/>
      <c r="R196" s="602"/>
    </row>
    <row r="197" spans="1:18" ht="12" customHeight="1">
      <c r="A197" s="633"/>
      <c r="B197" s="636" t="s">
        <v>186</v>
      </c>
      <c r="C197" s="637">
        <v>0</v>
      </c>
      <c r="D197" s="637">
        <v>0</v>
      </c>
      <c r="E197" s="637">
        <v>0</v>
      </c>
      <c r="F197" s="637">
        <v>0</v>
      </c>
      <c r="G197" s="637">
        <v>0</v>
      </c>
      <c r="H197" s="637">
        <v>0</v>
      </c>
      <c r="I197" s="637">
        <v>0</v>
      </c>
      <c r="J197" s="637">
        <v>0</v>
      </c>
      <c r="K197" s="637">
        <v>0</v>
      </c>
      <c r="L197" s="637">
        <v>0</v>
      </c>
      <c r="M197" s="602"/>
      <c r="N197" s="602"/>
      <c r="O197" s="602"/>
      <c r="P197" s="602"/>
      <c r="Q197" s="602"/>
      <c r="R197" s="602"/>
    </row>
    <row r="198" spans="1:18" ht="12" customHeight="1">
      <c r="A198" s="633"/>
      <c r="B198" s="636" t="s">
        <v>187</v>
      </c>
      <c r="C198" s="637">
        <v>15405</v>
      </c>
      <c r="D198" s="637">
        <v>29539</v>
      </c>
      <c r="E198" s="637">
        <v>16924</v>
      </c>
      <c r="F198" s="637">
        <v>9204</v>
      </c>
      <c r="G198" s="637">
        <v>6128</v>
      </c>
      <c r="H198" s="637">
        <v>4873</v>
      </c>
      <c r="I198" s="637">
        <v>6896</v>
      </c>
      <c r="J198" s="637">
        <v>13508</v>
      </c>
      <c r="K198" s="637">
        <v>1613</v>
      </c>
      <c r="L198" s="637">
        <v>727</v>
      </c>
      <c r="M198" s="602"/>
      <c r="N198" s="602"/>
      <c r="O198" s="602"/>
      <c r="P198" s="602"/>
      <c r="Q198" s="602"/>
      <c r="R198" s="602"/>
    </row>
    <row r="199" spans="1:18" ht="12" customHeight="1">
      <c r="A199" s="633"/>
      <c r="B199" s="634"/>
      <c r="C199" s="634"/>
      <c r="D199" s="634"/>
      <c r="E199" s="634"/>
      <c r="F199" s="634"/>
      <c r="G199" s="634"/>
      <c r="H199" s="634"/>
      <c r="I199" s="634"/>
      <c r="J199" s="634"/>
      <c r="K199" s="634"/>
      <c r="L199" s="634"/>
      <c r="M199" s="602"/>
      <c r="N199" s="602"/>
      <c r="O199" s="602"/>
      <c r="P199" s="602"/>
      <c r="Q199" s="602"/>
      <c r="R199" s="602"/>
    </row>
    <row r="200" spans="1:18" ht="23.25" customHeight="1">
      <c r="A200" s="633"/>
      <c r="B200" s="636" t="s">
        <v>188</v>
      </c>
      <c r="C200" s="637">
        <v>708571</v>
      </c>
      <c r="D200" s="637">
        <v>637766</v>
      </c>
      <c r="E200" s="637">
        <v>708330</v>
      </c>
      <c r="F200" s="637">
        <v>449103</v>
      </c>
      <c r="G200" s="637">
        <v>848040</v>
      </c>
      <c r="H200" s="637">
        <v>1239211</v>
      </c>
      <c r="I200" s="637">
        <v>1392331</v>
      </c>
      <c r="J200" s="637">
        <v>1429606</v>
      </c>
      <c r="K200" s="637">
        <v>1238472</v>
      </c>
      <c r="L200" s="637">
        <v>1395799</v>
      </c>
      <c r="M200" s="602"/>
      <c r="N200" s="602"/>
      <c r="O200" s="602"/>
      <c r="P200" s="602"/>
      <c r="Q200" s="602"/>
      <c r="R200" s="602"/>
    </row>
    <row r="201" spans="1:18" ht="12" customHeight="1">
      <c r="A201" s="633"/>
      <c r="B201" s="636" t="s">
        <v>189</v>
      </c>
      <c r="C201" s="635" t="s">
        <v>104</v>
      </c>
      <c r="D201" s="635" t="s">
        <v>104</v>
      </c>
      <c r="E201" s="635" t="s">
        <v>104</v>
      </c>
      <c r="F201" s="635" t="s">
        <v>104</v>
      </c>
      <c r="G201" s="635" t="s">
        <v>104</v>
      </c>
      <c r="H201" s="635" t="s">
        <v>104</v>
      </c>
      <c r="I201" s="635" t="s">
        <v>104</v>
      </c>
      <c r="J201" s="635" t="s">
        <v>104</v>
      </c>
      <c r="K201" s="635" t="s">
        <v>104</v>
      </c>
      <c r="L201" s="635" t="s">
        <v>104</v>
      </c>
      <c r="M201" s="602"/>
      <c r="N201" s="602"/>
      <c r="O201" s="602"/>
      <c r="P201" s="602"/>
      <c r="Q201" s="602"/>
      <c r="R201" s="602"/>
    </row>
    <row r="202" spans="1:18" ht="12" customHeight="1">
      <c r="A202" s="633"/>
      <c r="B202" s="634"/>
      <c r="C202" s="634"/>
      <c r="D202" s="634"/>
      <c r="E202" s="634"/>
      <c r="F202" s="634"/>
      <c r="G202" s="634"/>
      <c r="H202" s="634"/>
      <c r="I202" s="634"/>
      <c r="J202" s="634"/>
      <c r="K202" s="634"/>
      <c r="L202" s="634"/>
      <c r="M202" s="602"/>
      <c r="N202" s="602"/>
      <c r="O202" s="602"/>
      <c r="P202" s="602"/>
      <c r="Q202" s="602"/>
      <c r="R202" s="602"/>
    </row>
    <row r="203" spans="1:18" ht="12" customHeight="1">
      <c r="A203" s="633"/>
      <c r="B203" s="636" t="s">
        <v>190</v>
      </c>
      <c r="C203" s="637">
        <v>12930506</v>
      </c>
      <c r="D203" s="637">
        <v>11990730</v>
      </c>
      <c r="E203" s="637">
        <v>10877098</v>
      </c>
      <c r="F203" s="637">
        <v>8985482</v>
      </c>
      <c r="G203" s="637">
        <v>7250567</v>
      </c>
      <c r="H203" s="637">
        <v>6831833</v>
      </c>
      <c r="I203" s="637">
        <v>7194117</v>
      </c>
      <c r="J203" s="637">
        <v>5269792</v>
      </c>
      <c r="K203" s="637">
        <v>4342288</v>
      </c>
      <c r="L203" s="637">
        <v>4392744</v>
      </c>
      <c r="M203" s="602"/>
      <c r="N203" s="602"/>
      <c r="O203" s="602"/>
      <c r="P203" s="602"/>
      <c r="Q203" s="602"/>
      <c r="R203" s="602"/>
    </row>
    <row r="204" spans="1:18" ht="12" customHeight="1">
      <c r="A204" s="633"/>
      <c r="B204" s="634"/>
      <c r="C204" s="634"/>
      <c r="D204" s="634"/>
      <c r="E204" s="634"/>
      <c r="F204" s="634"/>
      <c r="G204" s="634"/>
      <c r="H204" s="634"/>
      <c r="I204" s="634"/>
      <c r="J204" s="634"/>
      <c r="K204" s="634"/>
      <c r="L204" s="634"/>
      <c r="M204" s="602"/>
      <c r="N204" s="602"/>
      <c r="O204" s="602"/>
      <c r="P204" s="602"/>
      <c r="Q204" s="602"/>
      <c r="R204" s="602"/>
    </row>
    <row r="205" spans="1:18" ht="12" customHeight="1">
      <c r="A205" s="640"/>
      <c r="B205" s="641" t="s">
        <v>191</v>
      </c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02"/>
      <c r="N205" s="602"/>
      <c r="O205" s="602"/>
      <c r="P205" s="602"/>
      <c r="Q205" s="602"/>
      <c r="R205" s="602"/>
    </row>
    <row r="206" spans="1:18" ht="12" customHeight="1">
      <c r="A206" s="633"/>
      <c r="B206" s="634"/>
      <c r="C206" s="634"/>
      <c r="D206" s="634"/>
      <c r="E206" s="634"/>
      <c r="F206" s="634"/>
      <c r="G206" s="634"/>
      <c r="H206" s="634"/>
      <c r="I206" s="634"/>
      <c r="J206" s="634"/>
      <c r="K206" s="634"/>
      <c r="L206" s="634"/>
      <c r="M206" s="602"/>
      <c r="N206" s="602"/>
      <c r="O206" s="602"/>
      <c r="P206" s="602"/>
      <c r="Q206" s="602"/>
      <c r="R206" s="602"/>
    </row>
    <row r="207" spans="1:18" ht="12" customHeight="1">
      <c r="A207" s="630"/>
      <c r="B207" s="646" t="s">
        <v>192</v>
      </c>
      <c r="C207" s="647"/>
      <c r="D207" s="647"/>
      <c r="E207" s="647"/>
      <c r="F207" s="647"/>
      <c r="G207" s="647"/>
      <c r="H207" s="647"/>
      <c r="I207" s="647"/>
      <c r="J207" s="647"/>
      <c r="K207" s="647"/>
      <c r="L207" s="647"/>
      <c r="M207" s="602"/>
      <c r="N207" s="602"/>
      <c r="O207" s="602"/>
      <c r="P207" s="602"/>
      <c r="Q207" s="602"/>
      <c r="R207" s="602"/>
    </row>
    <row r="208" spans="1:18" ht="12" customHeight="1">
      <c r="A208" s="633"/>
      <c r="B208" s="634"/>
      <c r="C208" s="634"/>
      <c r="D208" s="634"/>
      <c r="E208" s="634"/>
      <c r="F208" s="634"/>
      <c r="G208" s="634"/>
      <c r="H208" s="634"/>
      <c r="I208" s="634"/>
      <c r="J208" s="634"/>
      <c r="K208" s="634"/>
      <c r="L208" s="634"/>
      <c r="M208" s="602"/>
      <c r="N208" s="602"/>
      <c r="O208" s="602"/>
      <c r="P208" s="602"/>
      <c r="Q208" s="602"/>
      <c r="R208" s="602"/>
    </row>
    <row r="209" spans="1:18" ht="12" customHeight="1">
      <c r="A209" s="633"/>
      <c r="B209" s="636" t="s">
        <v>193</v>
      </c>
      <c r="C209" s="637">
        <v>3089801</v>
      </c>
      <c r="D209" s="637">
        <v>2929765</v>
      </c>
      <c r="E209" s="637">
        <v>2257478</v>
      </c>
      <c r="F209" s="637">
        <v>1480696</v>
      </c>
      <c r="G209" s="637">
        <v>966890</v>
      </c>
      <c r="H209" s="637">
        <v>662137</v>
      </c>
      <c r="I209" s="637">
        <v>642433</v>
      </c>
      <c r="J209" s="637">
        <v>432985</v>
      </c>
      <c r="K209" s="637">
        <v>176166</v>
      </c>
      <c r="L209" s="637">
        <v>320323</v>
      </c>
      <c r="M209" s="602"/>
      <c r="N209" s="602"/>
      <c r="O209" s="602"/>
      <c r="P209" s="602"/>
      <c r="Q209" s="602"/>
      <c r="R209" s="602"/>
    </row>
    <row r="210" spans="1:18" ht="12" customHeight="1">
      <c r="A210" s="633"/>
      <c r="B210" s="636" t="s">
        <v>194</v>
      </c>
      <c r="C210" s="637">
        <v>100000</v>
      </c>
      <c r="D210" s="637">
        <v>100000</v>
      </c>
      <c r="E210" s="637">
        <v>100000</v>
      </c>
      <c r="F210" s="637">
        <v>100000</v>
      </c>
      <c r="G210" s="637">
        <v>100000</v>
      </c>
      <c r="H210" s="637">
        <v>100000</v>
      </c>
      <c r="I210" s="637">
        <v>10000</v>
      </c>
      <c r="J210" s="637">
        <v>10000</v>
      </c>
      <c r="K210" s="637">
        <v>10000</v>
      </c>
      <c r="L210" s="637">
        <v>10000</v>
      </c>
      <c r="M210" s="602"/>
      <c r="N210" s="602"/>
      <c r="O210" s="602"/>
      <c r="P210" s="602"/>
      <c r="Q210" s="602"/>
      <c r="R210" s="602"/>
    </row>
    <row r="211" spans="1:18" ht="12" customHeight="1">
      <c r="A211" s="633"/>
      <c r="B211" s="636" t="s">
        <v>195</v>
      </c>
      <c r="C211" s="637">
        <v>0</v>
      </c>
      <c r="D211" s="637">
        <v>0</v>
      </c>
      <c r="E211" s="637">
        <v>0</v>
      </c>
      <c r="F211" s="637">
        <v>0</v>
      </c>
      <c r="G211" s="637">
        <v>0</v>
      </c>
      <c r="H211" s="637">
        <v>0</v>
      </c>
      <c r="I211" s="637">
        <v>0</v>
      </c>
      <c r="J211" s="635" t="s">
        <v>104</v>
      </c>
      <c r="K211" s="635" t="s">
        <v>104</v>
      </c>
      <c r="L211" s="635" t="s">
        <v>104</v>
      </c>
      <c r="M211" s="602"/>
      <c r="N211" s="602"/>
      <c r="O211" s="602"/>
      <c r="P211" s="602"/>
      <c r="Q211" s="602"/>
      <c r="R211" s="602"/>
    </row>
    <row r="212" spans="1:18" ht="12" customHeight="1">
      <c r="A212" s="633"/>
      <c r="B212" s="636" t="s">
        <v>196</v>
      </c>
      <c r="C212" s="637">
        <v>0</v>
      </c>
      <c r="D212" s="637">
        <v>0</v>
      </c>
      <c r="E212" s="637">
        <v>0</v>
      </c>
      <c r="F212" s="637">
        <v>0</v>
      </c>
      <c r="G212" s="637">
        <v>0</v>
      </c>
      <c r="H212" s="637">
        <v>0</v>
      </c>
      <c r="I212" s="637">
        <v>0</v>
      </c>
      <c r="J212" s="635" t="s">
        <v>104</v>
      </c>
      <c r="K212" s="635" t="s">
        <v>104</v>
      </c>
      <c r="L212" s="635" t="s">
        <v>104</v>
      </c>
      <c r="M212" s="602"/>
      <c r="N212" s="602"/>
      <c r="O212" s="602"/>
      <c r="P212" s="602"/>
      <c r="Q212" s="602"/>
      <c r="R212" s="602"/>
    </row>
    <row r="213" spans="1:18" ht="12" customHeight="1">
      <c r="A213" s="633"/>
      <c r="B213" s="636" t="s">
        <v>197</v>
      </c>
      <c r="C213" s="637">
        <v>0</v>
      </c>
      <c r="D213" s="637">
        <v>0</v>
      </c>
      <c r="E213" s="637">
        <v>0</v>
      </c>
      <c r="F213" s="637">
        <v>0</v>
      </c>
      <c r="G213" s="637">
        <v>0</v>
      </c>
      <c r="H213" s="637">
        <v>0</v>
      </c>
      <c r="I213" s="637">
        <v>0</v>
      </c>
      <c r="J213" s="635" t="s">
        <v>104</v>
      </c>
      <c r="K213" s="635" t="s">
        <v>104</v>
      </c>
      <c r="L213" s="635" t="s">
        <v>104</v>
      </c>
      <c r="M213" s="602"/>
      <c r="N213" s="602"/>
      <c r="O213" s="602"/>
      <c r="P213" s="602"/>
      <c r="Q213" s="602"/>
      <c r="R213" s="602"/>
    </row>
    <row r="214" spans="1:18" ht="12" customHeight="1">
      <c r="A214" s="633"/>
      <c r="B214" s="636" t="s">
        <v>198</v>
      </c>
      <c r="C214" s="637">
        <v>0</v>
      </c>
      <c r="D214" s="637">
        <v>0</v>
      </c>
      <c r="E214" s="637">
        <v>0</v>
      </c>
      <c r="F214" s="637">
        <v>0</v>
      </c>
      <c r="G214" s="637">
        <v>0</v>
      </c>
      <c r="H214" s="637">
        <v>0</v>
      </c>
      <c r="I214" s="637">
        <v>0</v>
      </c>
      <c r="J214" s="635" t="s">
        <v>104</v>
      </c>
      <c r="K214" s="635" t="s">
        <v>104</v>
      </c>
      <c r="L214" s="635" t="s">
        <v>104</v>
      </c>
      <c r="M214" s="602"/>
      <c r="N214" s="602"/>
      <c r="O214" s="602"/>
      <c r="P214" s="602"/>
      <c r="Q214" s="602"/>
      <c r="R214" s="602"/>
    </row>
    <row r="215" spans="1:18" ht="12" customHeight="1">
      <c r="A215" s="633"/>
      <c r="B215" s="636" t="s">
        <v>199</v>
      </c>
      <c r="C215" s="637">
        <v>0</v>
      </c>
      <c r="D215" s="637">
        <v>0</v>
      </c>
      <c r="E215" s="637">
        <v>0</v>
      </c>
      <c r="F215" s="637">
        <v>0</v>
      </c>
      <c r="G215" s="637">
        <v>0</v>
      </c>
      <c r="H215" s="637">
        <v>0</v>
      </c>
      <c r="I215" s="637">
        <v>0</v>
      </c>
      <c r="J215" s="637">
        <v>0</v>
      </c>
      <c r="K215" s="637">
        <v>0</v>
      </c>
      <c r="L215" s="637">
        <v>0</v>
      </c>
      <c r="M215" s="602"/>
      <c r="N215" s="602"/>
      <c r="O215" s="602"/>
      <c r="P215" s="602"/>
      <c r="Q215" s="602"/>
      <c r="R215" s="602"/>
    </row>
    <row r="216" spans="1:18" ht="12" customHeight="1">
      <c r="A216" s="633"/>
      <c r="B216" s="636" t="s">
        <v>200</v>
      </c>
      <c r="C216" s="637">
        <v>0</v>
      </c>
      <c r="D216" s="637">
        <v>0</v>
      </c>
      <c r="E216" s="637">
        <v>0</v>
      </c>
      <c r="F216" s="637">
        <v>0</v>
      </c>
      <c r="G216" s="637">
        <v>0</v>
      </c>
      <c r="H216" s="637">
        <v>0</v>
      </c>
      <c r="I216" s="637">
        <v>0</v>
      </c>
      <c r="J216" s="637">
        <v>0</v>
      </c>
      <c r="K216" s="637">
        <v>0</v>
      </c>
      <c r="L216" s="637">
        <v>0</v>
      </c>
      <c r="M216" s="602"/>
      <c r="N216" s="602"/>
      <c r="O216" s="602"/>
      <c r="P216" s="602"/>
      <c r="Q216" s="602"/>
      <c r="R216" s="602"/>
    </row>
    <row r="217" spans="1:18" ht="12" customHeight="1">
      <c r="A217" s="633"/>
      <c r="B217" s="636" t="s">
        <v>201</v>
      </c>
      <c r="C217" s="637">
        <v>2000</v>
      </c>
      <c r="D217" s="637">
        <v>2000</v>
      </c>
      <c r="E217" s="637">
        <v>2000</v>
      </c>
      <c r="F217" s="637">
        <v>2000</v>
      </c>
      <c r="G217" s="637">
        <v>2000</v>
      </c>
      <c r="H217" s="637">
        <v>2000</v>
      </c>
      <c r="I217" s="637">
        <v>2000</v>
      </c>
      <c r="J217" s="637">
        <v>2000</v>
      </c>
      <c r="K217" s="637">
        <v>2000</v>
      </c>
      <c r="L217" s="637">
        <v>2000</v>
      </c>
      <c r="M217" s="602"/>
      <c r="N217" s="602"/>
      <c r="O217" s="602"/>
      <c r="P217" s="602"/>
      <c r="Q217" s="602"/>
      <c r="R217" s="602"/>
    </row>
    <row r="218" spans="1:18" ht="12" customHeight="1">
      <c r="A218" s="633"/>
      <c r="B218" s="636" t="s">
        <v>202</v>
      </c>
      <c r="C218" s="637">
        <v>0</v>
      </c>
      <c r="D218" s="637">
        <v>0</v>
      </c>
      <c r="E218" s="637">
        <v>0</v>
      </c>
      <c r="F218" s="637">
        <v>0</v>
      </c>
      <c r="G218" s="637">
        <v>0</v>
      </c>
      <c r="H218" s="637">
        <v>0</v>
      </c>
      <c r="I218" s="637">
        <v>0</v>
      </c>
      <c r="J218" s="637">
        <v>0</v>
      </c>
      <c r="K218" s="637">
        <v>0</v>
      </c>
      <c r="L218" s="637">
        <v>0</v>
      </c>
      <c r="M218" s="602"/>
      <c r="N218" s="602"/>
      <c r="O218" s="602"/>
      <c r="P218" s="602"/>
      <c r="Q218" s="602"/>
      <c r="R218" s="602"/>
    </row>
    <row r="219" spans="1:18" ht="12" customHeight="1">
      <c r="A219" s="633"/>
      <c r="B219" s="636" t="s">
        <v>203</v>
      </c>
      <c r="C219" s="637">
        <v>0</v>
      </c>
      <c r="D219" s="637">
        <v>0</v>
      </c>
      <c r="E219" s="637">
        <v>0</v>
      </c>
      <c r="F219" s="637">
        <v>0</v>
      </c>
      <c r="G219" s="637">
        <v>0</v>
      </c>
      <c r="H219" s="637">
        <v>0</v>
      </c>
      <c r="I219" s="637">
        <v>0</v>
      </c>
      <c r="J219" s="637">
        <v>0</v>
      </c>
      <c r="K219" s="637">
        <v>0</v>
      </c>
      <c r="L219" s="637">
        <v>0</v>
      </c>
      <c r="M219" s="602"/>
      <c r="N219" s="602"/>
      <c r="O219" s="602"/>
      <c r="P219" s="602"/>
      <c r="Q219" s="602"/>
      <c r="R219" s="602"/>
    </row>
    <row r="220" spans="1:18" ht="12" customHeight="1">
      <c r="A220" s="633"/>
      <c r="B220" s="636" t="s">
        <v>204</v>
      </c>
      <c r="C220" s="637">
        <v>540435</v>
      </c>
      <c r="D220" s="637">
        <v>540433</v>
      </c>
      <c r="E220" s="637">
        <v>540436</v>
      </c>
      <c r="F220" s="637">
        <v>540434</v>
      </c>
      <c r="G220" s="637">
        <v>540436</v>
      </c>
      <c r="H220" s="637">
        <v>540433</v>
      </c>
      <c r="I220" s="637">
        <v>420985</v>
      </c>
      <c r="J220" s="637">
        <v>164165</v>
      </c>
      <c r="K220" s="637">
        <v>0</v>
      </c>
      <c r="L220" s="637">
        <v>184166</v>
      </c>
      <c r="M220" s="602"/>
      <c r="N220" s="602"/>
      <c r="O220" s="602"/>
      <c r="P220" s="602"/>
      <c r="Q220" s="602"/>
      <c r="R220" s="602"/>
    </row>
    <row r="221" spans="1:18" ht="12" customHeight="1">
      <c r="A221" s="633"/>
      <c r="B221" s="636" t="s">
        <v>205</v>
      </c>
      <c r="C221" s="635" t="s">
        <v>104</v>
      </c>
      <c r="D221" s="635" t="s">
        <v>104</v>
      </c>
      <c r="E221" s="635" t="s">
        <v>104</v>
      </c>
      <c r="F221" s="635" t="s">
        <v>104</v>
      </c>
      <c r="G221" s="635" t="s">
        <v>104</v>
      </c>
      <c r="H221" s="635" t="s">
        <v>104</v>
      </c>
      <c r="I221" s="635" t="s">
        <v>104</v>
      </c>
      <c r="J221" s="635" t="s">
        <v>104</v>
      </c>
      <c r="K221" s="635" t="s">
        <v>104</v>
      </c>
      <c r="L221" s="635" t="s">
        <v>104</v>
      </c>
      <c r="M221" s="602"/>
      <c r="N221" s="602"/>
      <c r="O221" s="602"/>
      <c r="P221" s="602"/>
      <c r="Q221" s="602"/>
      <c r="R221" s="602"/>
    </row>
    <row r="222" spans="1:18" ht="12" customHeight="1">
      <c r="A222" s="633"/>
      <c r="B222" s="636" t="s">
        <v>206</v>
      </c>
      <c r="C222" s="637">
        <v>0</v>
      </c>
      <c r="D222" s="637">
        <v>0</v>
      </c>
      <c r="E222" s="637">
        <v>0</v>
      </c>
      <c r="F222" s="637">
        <v>0</v>
      </c>
      <c r="G222" s="637">
        <v>0</v>
      </c>
      <c r="H222" s="637">
        <v>0</v>
      </c>
      <c r="I222" s="637">
        <v>0</v>
      </c>
      <c r="J222" s="637">
        <v>0</v>
      </c>
      <c r="K222" s="637">
        <v>0</v>
      </c>
      <c r="L222" s="635" t="s">
        <v>104</v>
      </c>
      <c r="M222" s="602"/>
      <c r="N222" s="602"/>
      <c r="O222" s="602"/>
      <c r="P222" s="602"/>
      <c r="Q222" s="602"/>
      <c r="R222" s="602"/>
    </row>
    <row r="223" spans="1:18" ht="12" customHeight="1">
      <c r="A223" s="633"/>
      <c r="B223" s="636" t="s">
        <v>207</v>
      </c>
      <c r="C223" s="637">
        <v>2287331</v>
      </c>
      <c r="D223" s="637">
        <v>1615043</v>
      </c>
      <c r="E223" s="637">
        <v>838262</v>
      </c>
      <c r="F223" s="637">
        <v>324454</v>
      </c>
      <c r="G223" s="637">
        <v>19704</v>
      </c>
      <c r="H223" s="637">
        <v>0</v>
      </c>
      <c r="I223" s="637">
        <v>0</v>
      </c>
      <c r="J223" s="637">
        <v>0</v>
      </c>
      <c r="K223" s="637">
        <v>0</v>
      </c>
      <c r="L223" s="637">
        <v>0</v>
      </c>
      <c r="M223" s="602"/>
      <c r="N223" s="602"/>
      <c r="O223" s="602"/>
      <c r="P223" s="602"/>
      <c r="Q223" s="602"/>
      <c r="R223" s="602"/>
    </row>
    <row r="224" spans="1:18" ht="12" customHeight="1">
      <c r="A224" s="633"/>
      <c r="B224" s="636" t="s">
        <v>208</v>
      </c>
      <c r="C224" s="637">
        <v>160035</v>
      </c>
      <c r="D224" s="637">
        <v>672289</v>
      </c>
      <c r="E224" s="637">
        <v>776780</v>
      </c>
      <c r="F224" s="637">
        <v>513808</v>
      </c>
      <c r="G224" s="637">
        <v>304750</v>
      </c>
      <c r="H224" s="637">
        <v>19704</v>
      </c>
      <c r="I224" s="637">
        <v>209448</v>
      </c>
      <c r="J224" s="637">
        <v>256820</v>
      </c>
      <c r="K224" s="637">
        <v>164166</v>
      </c>
      <c r="L224" s="637">
        <v>124157</v>
      </c>
      <c r="M224" s="602"/>
      <c r="N224" s="602"/>
      <c r="O224" s="602"/>
      <c r="P224" s="602"/>
      <c r="Q224" s="602"/>
      <c r="R224" s="602"/>
    </row>
    <row r="225" spans="1:18" ht="12" customHeight="1">
      <c r="A225" s="633"/>
      <c r="B225" s="636" t="s">
        <v>209</v>
      </c>
      <c r="C225" s="637">
        <v>0</v>
      </c>
      <c r="D225" s="637">
        <v>0</v>
      </c>
      <c r="E225" s="637">
        <v>0</v>
      </c>
      <c r="F225" s="637">
        <v>0</v>
      </c>
      <c r="G225" s="637">
        <v>0</v>
      </c>
      <c r="H225" s="637">
        <v>0</v>
      </c>
      <c r="I225" s="637">
        <v>0</v>
      </c>
      <c r="J225" s="637">
        <v>0</v>
      </c>
      <c r="K225" s="635" t="s">
        <v>104</v>
      </c>
      <c r="L225" s="635" t="s">
        <v>104</v>
      </c>
      <c r="M225" s="602"/>
      <c r="N225" s="602"/>
      <c r="O225" s="602"/>
      <c r="P225" s="602"/>
      <c r="Q225" s="602"/>
      <c r="R225" s="602"/>
    </row>
    <row r="226" spans="1:18" ht="12" customHeight="1">
      <c r="A226" s="633"/>
      <c r="B226" s="636" t="s">
        <v>210</v>
      </c>
      <c r="C226" s="637">
        <v>0</v>
      </c>
      <c r="D226" s="637">
        <v>0</v>
      </c>
      <c r="E226" s="637">
        <v>0</v>
      </c>
      <c r="F226" s="637">
        <v>0</v>
      </c>
      <c r="G226" s="637">
        <v>0</v>
      </c>
      <c r="H226" s="637">
        <v>0</v>
      </c>
      <c r="I226" s="637">
        <v>0</v>
      </c>
      <c r="J226" s="637">
        <v>0</v>
      </c>
      <c r="K226" s="635" t="s">
        <v>104</v>
      </c>
      <c r="L226" s="635" t="s">
        <v>104</v>
      </c>
      <c r="M226" s="602"/>
      <c r="N226" s="602"/>
      <c r="O226" s="602"/>
      <c r="P226" s="602"/>
      <c r="Q226" s="602"/>
      <c r="R226" s="602"/>
    </row>
    <row r="227" spans="1:18" ht="12" customHeight="1">
      <c r="A227" s="633"/>
      <c r="B227" s="636" t="s">
        <v>211</v>
      </c>
      <c r="C227" s="637">
        <v>0</v>
      </c>
      <c r="D227" s="637">
        <v>0</v>
      </c>
      <c r="E227" s="637">
        <v>0</v>
      </c>
      <c r="F227" s="637">
        <v>0</v>
      </c>
      <c r="G227" s="637">
        <v>0</v>
      </c>
      <c r="H227" s="637">
        <v>0</v>
      </c>
      <c r="I227" s="637">
        <v>0</v>
      </c>
      <c r="J227" s="637">
        <v>0</v>
      </c>
      <c r="K227" s="637">
        <v>0</v>
      </c>
      <c r="L227" s="635" t="s">
        <v>104</v>
      </c>
      <c r="M227" s="602"/>
      <c r="N227" s="602"/>
      <c r="O227" s="602"/>
      <c r="P227" s="602"/>
      <c r="Q227" s="602"/>
      <c r="R227" s="602"/>
    </row>
    <row r="228" spans="1:18" ht="12" customHeight="1">
      <c r="A228" s="633"/>
      <c r="B228" s="636" t="s">
        <v>212</v>
      </c>
      <c r="C228" s="635" t="s">
        <v>104</v>
      </c>
      <c r="D228" s="635" t="s">
        <v>104</v>
      </c>
      <c r="E228" s="635" t="s">
        <v>104</v>
      </c>
      <c r="F228" s="635" t="s">
        <v>104</v>
      </c>
      <c r="G228" s="635" t="s">
        <v>104</v>
      </c>
      <c r="H228" s="635" t="s">
        <v>104</v>
      </c>
      <c r="I228" s="635" t="s">
        <v>104</v>
      </c>
      <c r="J228" s="635" t="s">
        <v>104</v>
      </c>
      <c r="K228" s="635" t="s">
        <v>104</v>
      </c>
      <c r="L228" s="635" t="s">
        <v>104</v>
      </c>
      <c r="M228" s="602"/>
      <c r="N228" s="602"/>
      <c r="O228" s="602"/>
      <c r="P228" s="602"/>
      <c r="Q228" s="602"/>
      <c r="R228" s="602"/>
    </row>
    <row r="229" spans="1:18" ht="12" customHeight="1">
      <c r="A229" s="633"/>
      <c r="B229" s="636" t="s">
        <v>213</v>
      </c>
      <c r="C229" s="635" t="s">
        <v>104</v>
      </c>
      <c r="D229" s="635" t="s">
        <v>104</v>
      </c>
      <c r="E229" s="635" t="s">
        <v>104</v>
      </c>
      <c r="F229" s="635" t="s">
        <v>104</v>
      </c>
      <c r="G229" s="635" t="s">
        <v>104</v>
      </c>
      <c r="H229" s="635" t="s">
        <v>104</v>
      </c>
      <c r="I229" s="635" t="s">
        <v>104</v>
      </c>
      <c r="J229" s="635" t="s">
        <v>104</v>
      </c>
      <c r="K229" s="635" t="s">
        <v>104</v>
      </c>
      <c r="L229" s="635" t="s">
        <v>104</v>
      </c>
      <c r="M229" s="602"/>
      <c r="N229" s="602"/>
      <c r="O229" s="602"/>
      <c r="P229" s="602"/>
      <c r="Q229" s="602"/>
      <c r="R229" s="602"/>
    </row>
    <row r="230" spans="1:18" ht="12" customHeight="1">
      <c r="A230" s="633"/>
      <c r="B230" s="636" t="s">
        <v>214</v>
      </c>
      <c r="C230" s="637">
        <v>0</v>
      </c>
      <c r="D230" s="637">
        <v>0</v>
      </c>
      <c r="E230" s="637">
        <v>0</v>
      </c>
      <c r="F230" s="637">
        <v>0</v>
      </c>
      <c r="G230" s="637">
        <v>0</v>
      </c>
      <c r="H230" s="637">
        <v>0</v>
      </c>
      <c r="I230" s="637">
        <v>0</v>
      </c>
      <c r="J230" s="637">
        <v>0</v>
      </c>
      <c r="K230" s="635" t="s">
        <v>104</v>
      </c>
      <c r="L230" s="635" t="s">
        <v>104</v>
      </c>
      <c r="M230" s="602"/>
      <c r="N230" s="602"/>
      <c r="O230" s="602"/>
      <c r="P230" s="602"/>
      <c r="Q230" s="602"/>
      <c r="R230" s="602"/>
    </row>
    <row r="231" spans="1:18" ht="12" customHeight="1">
      <c r="A231" s="633"/>
      <c r="B231" s="636" t="s">
        <v>215</v>
      </c>
      <c r="C231" s="635" t="s">
        <v>104</v>
      </c>
      <c r="D231" s="635" t="s">
        <v>104</v>
      </c>
      <c r="E231" s="635" t="s">
        <v>104</v>
      </c>
      <c r="F231" s="635" t="s">
        <v>104</v>
      </c>
      <c r="G231" s="635" t="s">
        <v>104</v>
      </c>
      <c r="H231" s="635" t="s">
        <v>104</v>
      </c>
      <c r="I231" s="635" t="s">
        <v>104</v>
      </c>
      <c r="J231" s="635" t="s">
        <v>104</v>
      </c>
      <c r="K231" s="635" t="s">
        <v>104</v>
      </c>
      <c r="L231" s="635" t="s">
        <v>104</v>
      </c>
      <c r="M231" s="602"/>
      <c r="N231" s="602"/>
      <c r="O231" s="602"/>
      <c r="P231" s="602"/>
      <c r="Q231" s="602"/>
      <c r="R231" s="602"/>
    </row>
    <row r="232" spans="1:18" ht="12" customHeight="1">
      <c r="A232" s="633"/>
      <c r="B232" s="636" t="s">
        <v>216</v>
      </c>
      <c r="C232" s="635" t="s">
        <v>104</v>
      </c>
      <c r="D232" s="635" t="s">
        <v>104</v>
      </c>
      <c r="E232" s="635" t="s">
        <v>104</v>
      </c>
      <c r="F232" s="635" t="s">
        <v>104</v>
      </c>
      <c r="G232" s="635" t="s">
        <v>104</v>
      </c>
      <c r="H232" s="635" t="s">
        <v>104</v>
      </c>
      <c r="I232" s="635" t="s">
        <v>104</v>
      </c>
      <c r="J232" s="635" t="s">
        <v>104</v>
      </c>
      <c r="K232" s="635" t="s">
        <v>104</v>
      </c>
      <c r="L232" s="635" t="s">
        <v>104</v>
      </c>
      <c r="M232" s="602"/>
      <c r="N232" s="602"/>
      <c r="O232" s="602"/>
      <c r="P232" s="602"/>
      <c r="Q232" s="602"/>
      <c r="R232" s="602"/>
    </row>
    <row r="233" spans="1:18" ht="12" customHeight="1">
      <c r="A233" s="633"/>
      <c r="B233" s="634"/>
      <c r="C233" s="634"/>
      <c r="D233" s="634"/>
      <c r="E233" s="634"/>
      <c r="F233" s="634"/>
      <c r="G233" s="634"/>
      <c r="H233" s="634"/>
      <c r="I233" s="634"/>
      <c r="J233" s="634"/>
      <c r="K233" s="634"/>
      <c r="L233" s="634"/>
      <c r="M233" s="602"/>
      <c r="N233" s="602"/>
      <c r="O233" s="602"/>
      <c r="P233" s="602"/>
      <c r="Q233" s="602"/>
      <c r="R233" s="602"/>
    </row>
    <row r="234" spans="1:18" ht="12" customHeight="1">
      <c r="A234" s="633"/>
      <c r="B234" s="636" t="s">
        <v>217</v>
      </c>
      <c r="C234" s="637">
        <v>0</v>
      </c>
      <c r="D234" s="637">
        <v>0</v>
      </c>
      <c r="E234" s="637">
        <v>0</v>
      </c>
      <c r="F234" s="637">
        <v>0</v>
      </c>
      <c r="G234" s="637">
        <v>0</v>
      </c>
      <c r="H234" s="637">
        <v>0</v>
      </c>
      <c r="I234" s="637">
        <v>0</v>
      </c>
      <c r="J234" s="637">
        <v>0</v>
      </c>
      <c r="K234" s="637">
        <v>0</v>
      </c>
      <c r="L234" s="637">
        <v>0</v>
      </c>
      <c r="M234" s="602"/>
      <c r="N234" s="602"/>
      <c r="O234" s="602"/>
      <c r="P234" s="602"/>
      <c r="Q234" s="602"/>
      <c r="R234" s="602"/>
    </row>
    <row r="235" spans="1:18" ht="12" customHeight="1">
      <c r="A235" s="633"/>
      <c r="B235" s="636" t="s">
        <v>218</v>
      </c>
      <c r="C235" s="637">
        <v>0</v>
      </c>
      <c r="D235" s="637">
        <v>0</v>
      </c>
      <c r="E235" s="637">
        <v>0</v>
      </c>
      <c r="F235" s="637">
        <v>0</v>
      </c>
      <c r="G235" s="637">
        <v>0</v>
      </c>
      <c r="H235" s="637">
        <v>0</v>
      </c>
      <c r="I235" s="637">
        <v>0</v>
      </c>
      <c r="J235" s="637">
        <v>0</v>
      </c>
      <c r="K235" s="637">
        <v>0</v>
      </c>
      <c r="L235" s="637">
        <v>0</v>
      </c>
      <c r="M235" s="602"/>
      <c r="N235" s="602"/>
      <c r="O235" s="602"/>
      <c r="P235" s="602"/>
      <c r="Q235" s="602"/>
      <c r="R235" s="602"/>
    </row>
    <row r="236" spans="1:18" ht="12" customHeight="1">
      <c r="A236" s="633"/>
      <c r="B236" s="636" t="s">
        <v>219</v>
      </c>
      <c r="C236" s="637">
        <v>0</v>
      </c>
      <c r="D236" s="637">
        <v>0</v>
      </c>
      <c r="E236" s="637">
        <v>0</v>
      </c>
      <c r="F236" s="637">
        <v>0</v>
      </c>
      <c r="G236" s="637">
        <v>0</v>
      </c>
      <c r="H236" s="637">
        <v>0</v>
      </c>
      <c r="I236" s="637">
        <v>0</v>
      </c>
      <c r="J236" s="637">
        <v>0</v>
      </c>
      <c r="K236" s="637">
        <v>0</v>
      </c>
      <c r="L236" s="637">
        <v>0</v>
      </c>
      <c r="M236" s="602"/>
      <c r="N236" s="602"/>
      <c r="O236" s="602"/>
      <c r="P236" s="602"/>
      <c r="Q236" s="602"/>
      <c r="R236" s="602"/>
    </row>
    <row r="237" spans="1:18" ht="12" customHeight="1">
      <c r="A237" s="633"/>
      <c r="B237" s="636" t="s">
        <v>220</v>
      </c>
      <c r="C237" s="637">
        <v>0</v>
      </c>
      <c r="D237" s="637">
        <v>0</v>
      </c>
      <c r="E237" s="637">
        <v>0</v>
      </c>
      <c r="F237" s="637">
        <v>0</v>
      </c>
      <c r="G237" s="637">
        <v>0</v>
      </c>
      <c r="H237" s="637">
        <v>0</v>
      </c>
      <c r="I237" s="637">
        <v>0</v>
      </c>
      <c r="J237" s="637">
        <v>0</v>
      </c>
      <c r="K237" s="637">
        <v>0</v>
      </c>
      <c r="L237" s="635" t="s">
        <v>104</v>
      </c>
      <c r="M237" s="602"/>
      <c r="N237" s="602"/>
      <c r="O237" s="602"/>
      <c r="P237" s="602"/>
      <c r="Q237" s="602"/>
      <c r="R237" s="602"/>
    </row>
    <row r="238" spans="1:18" ht="12" customHeight="1">
      <c r="A238" s="633"/>
      <c r="B238" s="636" t="s">
        <v>221</v>
      </c>
      <c r="C238" s="637">
        <v>0</v>
      </c>
      <c r="D238" s="637">
        <v>0</v>
      </c>
      <c r="E238" s="637">
        <v>0</v>
      </c>
      <c r="F238" s="637">
        <v>0</v>
      </c>
      <c r="G238" s="637">
        <v>0</v>
      </c>
      <c r="H238" s="637">
        <v>0</v>
      </c>
      <c r="I238" s="637">
        <v>0</v>
      </c>
      <c r="J238" s="637">
        <v>0</v>
      </c>
      <c r="K238" s="637">
        <v>0</v>
      </c>
      <c r="L238" s="637">
        <v>0</v>
      </c>
      <c r="M238" s="602"/>
      <c r="N238" s="602"/>
      <c r="O238" s="602"/>
      <c r="P238" s="602"/>
      <c r="Q238" s="602"/>
      <c r="R238" s="602"/>
    </row>
    <row r="239" spans="1:18" ht="12" customHeight="1">
      <c r="A239" s="633"/>
      <c r="B239" s="636" t="s">
        <v>222</v>
      </c>
      <c r="C239" s="635" t="s">
        <v>104</v>
      </c>
      <c r="D239" s="635" t="s">
        <v>104</v>
      </c>
      <c r="E239" s="635" t="s">
        <v>104</v>
      </c>
      <c r="F239" s="635" t="s">
        <v>104</v>
      </c>
      <c r="G239" s="635" t="s">
        <v>104</v>
      </c>
      <c r="H239" s="635" t="s">
        <v>104</v>
      </c>
      <c r="I239" s="635" t="s">
        <v>104</v>
      </c>
      <c r="J239" s="635" t="s">
        <v>104</v>
      </c>
      <c r="K239" s="635" t="s">
        <v>104</v>
      </c>
      <c r="L239" s="635" t="s">
        <v>104</v>
      </c>
      <c r="M239" s="602"/>
      <c r="N239" s="602"/>
      <c r="O239" s="602"/>
      <c r="P239" s="602"/>
      <c r="Q239" s="602"/>
      <c r="R239" s="602"/>
    </row>
    <row r="240" spans="1:18" ht="12" customHeight="1">
      <c r="A240" s="633"/>
      <c r="B240" s="634"/>
      <c r="C240" s="634"/>
      <c r="D240" s="634"/>
      <c r="E240" s="634"/>
      <c r="F240" s="634"/>
      <c r="G240" s="634"/>
      <c r="H240" s="634"/>
      <c r="I240" s="634"/>
      <c r="J240" s="634"/>
      <c r="K240" s="634"/>
      <c r="L240" s="634"/>
      <c r="M240" s="602"/>
      <c r="N240" s="602"/>
      <c r="O240" s="602"/>
      <c r="P240" s="602"/>
      <c r="Q240" s="602"/>
      <c r="R240" s="602"/>
    </row>
    <row r="241" spans="1:18" ht="12" customHeight="1">
      <c r="A241" s="633"/>
      <c r="B241" s="636" t="s">
        <v>223</v>
      </c>
      <c r="C241" s="637">
        <v>315729</v>
      </c>
      <c r="D241" s="637">
        <v>275626</v>
      </c>
      <c r="E241" s="637">
        <v>307482</v>
      </c>
      <c r="F241" s="637">
        <v>253701</v>
      </c>
      <c r="G241" s="637">
        <v>220634</v>
      </c>
      <c r="H241" s="637">
        <v>193620</v>
      </c>
      <c r="I241" s="637">
        <v>147085</v>
      </c>
      <c r="J241" s="637">
        <v>106710</v>
      </c>
      <c r="K241" s="637">
        <v>84497</v>
      </c>
      <c r="L241" s="637">
        <v>109340</v>
      </c>
      <c r="M241" s="602"/>
      <c r="N241" s="602"/>
      <c r="O241" s="602"/>
      <c r="P241" s="602"/>
      <c r="Q241" s="602"/>
      <c r="R241" s="602"/>
    </row>
    <row r="242" spans="1:18" ht="12" customHeight="1">
      <c r="A242" s="633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02"/>
      <c r="N242" s="602"/>
      <c r="O242" s="602"/>
      <c r="P242" s="602"/>
      <c r="Q242" s="602"/>
      <c r="R242" s="602"/>
    </row>
    <row r="243" spans="1:18" ht="12" customHeight="1">
      <c r="A243" s="630"/>
      <c r="B243" s="646" t="s">
        <v>224</v>
      </c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02"/>
      <c r="N243" s="602"/>
      <c r="O243" s="602"/>
      <c r="P243" s="602"/>
      <c r="Q243" s="602"/>
      <c r="R243" s="602"/>
    </row>
    <row r="244" spans="1:18" ht="12" customHeight="1">
      <c r="A244" s="633"/>
      <c r="B244" s="634"/>
      <c r="C244" s="634"/>
      <c r="D244" s="634"/>
      <c r="E244" s="634"/>
      <c r="F244" s="634"/>
      <c r="G244" s="634"/>
      <c r="H244" s="634"/>
      <c r="I244" s="634"/>
      <c r="J244" s="634"/>
      <c r="K244" s="634"/>
      <c r="L244" s="634"/>
      <c r="M244" s="602"/>
      <c r="N244" s="602"/>
      <c r="O244" s="602"/>
      <c r="P244" s="602"/>
      <c r="Q244" s="602"/>
      <c r="R244" s="602"/>
    </row>
    <row r="245" spans="1:18" ht="12" customHeight="1">
      <c r="A245" s="633"/>
      <c r="B245" s="636" t="s">
        <v>225</v>
      </c>
      <c r="C245" s="637">
        <v>9200966</v>
      </c>
      <c r="D245" s="637">
        <v>8468346</v>
      </c>
      <c r="E245" s="637">
        <v>8006873</v>
      </c>
      <c r="F245" s="637">
        <v>7028521</v>
      </c>
      <c r="G245" s="637">
        <v>5876201</v>
      </c>
      <c r="H245" s="637">
        <v>5813222</v>
      </c>
      <c r="I245" s="637">
        <v>6259012</v>
      </c>
      <c r="J245" s="637">
        <v>4624060</v>
      </c>
      <c r="K245" s="637">
        <v>4007087</v>
      </c>
      <c r="L245" s="637">
        <v>3889771</v>
      </c>
      <c r="M245" s="602"/>
      <c r="N245" s="602"/>
      <c r="O245" s="602"/>
      <c r="P245" s="602"/>
      <c r="Q245" s="602"/>
      <c r="R245" s="602"/>
    </row>
    <row r="246" spans="1:18" ht="12" customHeight="1">
      <c r="A246" s="633"/>
      <c r="B246" s="636" t="s">
        <v>226</v>
      </c>
      <c r="C246" s="637">
        <v>0</v>
      </c>
      <c r="D246" s="637">
        <v>0</v>
      </c>
      <c r="E246" s="637">
        <v>0</v>
      </c>
      <c r="F246" s="637">
        <v>0</v>
      </c>
      <c r="G246" s="637">
        <v>0</v>
      </c>
      <c r="H246" s="637">
        <v>0</v>
      </c>
      <c r="I246" s="637">
        <v>0</v>
      </c>
      <c r="J246" s="637">
        <v>0</v>
      </c>
      <c r="K246" s="637">
        <v>0</v>
      </c>
      <c r="L246" s="637">
        <v>0</v>
      </c>
      <c r="M246" s="602"/>
      <c r="N246" s="602"/>
      <c r="O246" s="602"/>
      <c r="P246" s="602"/>
      <c r="Q246" s="602"/>
      <c r="R246" s="602"/>
    </row>
    <row r="247" spans="1:18" ht="12" customHeight="1">
      <c r="A247" s="633"/>
      <c r="B247" s="636" t="s">
        <v>227</v>
      </c>
      <c r="C247" s="637">
        <v>0</v>
      </c>
      <c r="D247" s="637">
        <v>0</v>
      </c>
      <c r="E247" s="637">
        <v>0</v>
      </c>
      <c r="F247" s="637">
        <v>0</v>
      </c>
      <c r="G247" s="637">
        <v>0</v>
      </c>
      <c r="H247" s="637">
        <v>0</v>
      </c>
      <c r="I247" s="637">
        <v>0</v>
      </c>
      <c r="J247" s="637">
        <v>0</v>
      </c>
      <c r="K247" s="637">
        <v>0</v>
      </c>
      <c r="L247" s="637">
        <v>0</v>
      </c>
      <c r="M247" s="602"/>
      <c r="N247" s="602"/>
      <c r="O247" s="602"/>
      <c r="P247" s="602"/>
      <c r="Q247" s="602"/>
      <c r="R247" s="602"/>
    </row>
    <row r="248" spans="1:18" ht="12" customHeight="1">
      <c r="A248" s="633"/>
      <c r="B248" s="636" t="s">
        <v>228</v>
      </c>
      <c r="C248" s="637">
        <v>0</v>
      </c>
      <c r="D248" s="637">
        <v>0</v>
      </c>
      <c r="E248" s="637">
        <v>0</v>
      </c>
      <c r="F248" s="637">
        <v>0</v>
      </c>
      <c r="G248" s="637">
        <v>0</v>
      </c>
      <c r="H248" s="637">
        <v>0</v>
      </c>
      <c r="I248" s="637">
        <v>0</v>
      </c>
      <c r="J248" s="637">
        <v>0</v>
      </c>
      <c r="K248" s="637">
        <v>0</v>
      </c>
      <c r="L248" s="637">
        <v>0</v>
      </c>
      <c r="M248" s="602"/>
      <c r="N248" s="602"/>
      <c r="O248" s="602"/>
      <c r="P248" s="602"/>
      <c r="Q248" s="602"/>
      <c r="R248" s="602"/>
    </row>
    <row r="249" spans="1:18" ht="12" customHeight="1">
      <c r="A249" s="633"/>
      <c r="B249" s="636" t="s">
        <v>229</v>
      </c>
      <c r="C249" s="637">
        <v>0</v>
      </c>
      <c r="D249" s="637">
        <v>0</v>
      </c>
      <c r="E249" s="637">
        <v>0</v>
      </c>
      <c r="F249" s="637">
        <v>0</v>
      </c>
      <c r="G249" s="637">
        <v>0</v>
      </c>
      <c r="H249" s="637">
        <v>0</v>
      </c>
      <c r="I249" s="637">
        <v>0</v>
      </c>
      <c r="J249" s="637">
        <v>0</v>
      </c>
      <c r="K249" s="637">
        <v>0</v>
      </c>
      <c r="L249" s="637">
        <v>0</v>
      </c>
      <c r="M249" s="602"/>
      <c r="N249" s="602"/>
      <c r="O249" s="602"/>
      <c r="P249" s="602"/>
      <c r="Q249" s="602"/>
      <c r="R249" s="602"/>
    </row>
    <row r="250" spans="1:18" ht="12" customHeight="1">
      <c r="A250" s="633"/>
      <c r="B250" s="636" t="s">
        <v>230</v>
      </c>
      <c r="C250" s="637">
        <v>0</v>
      </c>
      <c r="D250" s="637">
        <v>0</v>
      </c>
      <c r="E250" s="637">
        <v>0</v>
      </c>
      <c r="F250" s="637">
        <v>0</v>
      </c>
      <c r="G250" s="637">
        <v>0</v>
      </c>
      <c r="H250" s="637">
        <v>0</v>
      </c>
      <c r="I250" s="637">
        <v>0</v>
      </c>
      <c r="J250" s="637">
        <v>0</v>
      </c>
      <c r="K250" s="637">
        <v>0</v>
      </c>
      <c r="L250" s="637">
        <v>1</v>
      </c>
      <c r="M250" s="602"/>
      <c r="N250" s="602"/>
      <c r="O250" s="602"/>
      <c r="P250" s="602"/>
      <c r="Q250" s="602"/>
      <c r="R250" s="602"/>
    </row>
    <row r="251" spans="1:18" ht="23.25" customHeight="1">
      <c r="A251" s="633"/>
      <c r="B251" s="636" t="s">
        <v>231</v>
      </c>
      <c r="C251" s="637">
        <v>0</v>
      </c>
      <c r="D251" s="637">
        <v>0</v>
      </c>
      <c r="E251" s="637">
        <v>0</v>
      </c>
      <c r="F251" s="637">
        <v>0</v>
      </c>
      <c r="G251" s="637">
        <v>1300000</v>
      </c>
      <c r="H251" s="637">
        <v>1300000</v>
      </c>
      <c r="I251" s="637">
        <v>0</v>
      </c>
      <c r="J251" s="637">
        <v>1510973</v>
      </c>
      <c r="K251" s="637">
        <v>1712436</v>
      </c>
      <c r="L251" s="637">
        <v>1887009</v>
      </c>
      <c r="M251" s="602"/>
      <c r="N251" s="602"/>
      <c r="O251" s="602"/>
      <c r="P251" s="602"/>
      <c r="Q251" s="602"/>
      <c r="R251" s="602"/>
    </row>
    <row r="252" spans="1:18" ht="12" customHeight="1">
      <c r="A252" s="633"/>
      <c r="B252" s="636" t="s">
        <v>232</v>
      </c>
      <c r="C252" s="637">
        <v>1785194</v>
      </c>
      <c r="D252" s="637">
        <v>2067585</v>
      </c>
      <c r="E252" s="637">
        <v>893797</v>
      </c>
      <c r="F252" s="637">
        <v>1174483</v>
      </c>
      <c r="G252" s="637">
        <v>408353</v>
      </c>
      <c r="H252" s="637">
        <v>954402</v>
      </c>
      <c r="I252" s="637">
        <v>1222974</v>
      </c>
      <c r="J252" s="637">
        <v>263095</v>
      </c>
      <c r="K252" s="637">
        <v>585505</v>
      </c>
      <c r="L252" s="637">
        <v>623293</v>
      </c>
      <c r="M252" s="602"/>
      <c r="N252" s="602"/>
      <c r="O252" s="602"/>
      <c r="P252" s="602"/>
      <c r="Q252" s="602"/>
      <c r="R252" s="602"/>
    </row>
    <row r="253" spans="1:18" ht="12" customHeight="1">
      <c r="A253" s="633"/>
      <c r="B253" s="636" t="s">
        <v>233</v>
      </c>
      <c r="C253" s="637">
        <v>3837343</v>
      </c>
      <c r="D253" s="637">
        <v>3190619</v>
      </c>
      <c r="E253" s="637">
        <v>3256605</v>
      </c>
      <c r="F253" s="637">
        <v>2014910</v>
      </c>
      <c r="G253" s="637">
        <v>2590830</v>
      </c>
      <c r="H253" s="637">
        <v>1967673</v>
      </c>
      <c r="I253" s="637">
        <v>1457906</v>
      </c>
      <c r="J253" s="637">
        <v>981988</v>
      </c>
      <c r="K253" s="637">
        <v>196181</v>
      </c>
      <c r="L253" s="637">
        <v>259203</v>
      </c>
      <c r="M253" s="602"/>
      <c r="N253" s="602"/>
      <c r="O253" s="602"/>
      <c r="P253" s="602"/>
      <c r="Q253" s="602"/>
      <c r="R253" s="602"/>
    </row>
    <row r="254" spans="1:18" ht="12" customHeight="1">
      <c r="A254" s="633"/>
      <c r="B254" s="636" t="s">
        <v>234</v>
      </c>
      <c r="C254" s="637">
        <v>0</v>
      </c>
      <c r="D254" s="637">
        <v>0</v>
      </c>
      <c r="E254" s="637">
        <v>0</v>
      </c>
      <c r="F254" s="637">
        <v>0</v>
      </c>
      <c r="G254" s="637">
        <v>0</v>
      </c>
      <c r="H254" s="637">
        <v>0</v>
      </c>
      <c r="I254" s="637">
        <v>0</v>
      </c>
      <c r="J254" s="637">
        <v>0</v>
      </c>
      <c r="K254" s="637">
        <v>0</v>
      </c>
      <c r="L254" s="637">
        <v>0</v>
      </c>
      <c r="M254" s="602"/>
      <c r="N254" s="602"/>
      <c r="O254" s="602"/>
      <c r="P254" s="602"/>
      <c r="Q254" s="602"/>
      <c r="R254" s="602"/>
    </row>
    <row r="255" spans="1:18" ht="12" customHeight="1">
      <c r="A255" s="633"/>
      <c r="B255" s="636" t="s">
        <v>235</v>
      </c>
      <c r="C255" s="637">
        <v>1052935</v>
      </c>
      <c r="D255" s="637">
        <v>1052935</v>
      </c>
      <c r="E255" s="637">
        <v>1226527</v>
      </c>
      <c r="F255" s="637">
        <v>1300000</v>
      </c>
      <c r="G255" s="637">
        <v>0</v>
      </c>
      <c r="H255" s="637">
        <v>0</v>
      </c>
      <c r="I255" s="637">
        <v>1300000</v>
      </c>
      <c r="J255" s="637">
        <v>0</v>
      </c>
      <c r="K255" s="637">
        <v>0</v>
      </c>
      <c r="L255" s="637">
        <v>0</v>
      </c>
      <c r="M255" s="602"/>
      <c r="N255" s="602"/>
      <c r="O255" s="602"/>
      <c r="P255" s="602"/>
      <c r="Q255" s="602"/>
      <c r="R255" s="602"/>
    </row>
    <row r="256" spans="1:18" ht="12" customHeight="1">
      <c r="A256" s="633"/>
      <c r="B256" s="636" t="s">
        <v>236</v>
      </c>
      <c r="C256" s="637">
        <v>0</v>
      </c>
      <c r="D256" s="637">
        <v>0</v>
      </c>
      <c r="E256" s="637">
        <v>0</v>
      </c>
      <c r="F256" s="637">
        <v>0</v>
      </c>
      <c r="G256" s="637">
        <v>0</v>
      </c>
      <c r="H256" s="637">
        <v>0</v>
      </c>
      <c r="I256" s="637">
        <v>0</v>
      </c>
      <c r="J256" s="637">
        <v>0</v>
      </c>
      <c r="K256" s="637">
        <v>0</v>
      </c>
      <c r="L256" s="637">
        <v>0</v>
      </c>
      <c r="M256" s="602"/>
      <c r="N256" s="602"/>
      <c r="O256" s="602"/>
      <c r="P256" s="602"/>
      <c r="Q256" s="602"/>
      <c r="R256" s="602"/>
    </row>
    <row r="257" spans="1:18" ht="12" customHeight="1">
      <c r="A257" s="633"/>
      <c r="B257" s="636" t="s">
        <v>237</v>
      </c>
      <c r="C257" s="637">
        <v>0</v>
      </c>
      <c r="D257" s="637">
        <v>0</v>
      </c>
      <c r="E257" s="637">
        <v>0</v>
      </c>
      <c r="F257" s="637">
        <v>0</v>
      </c>
      <c r="G257" s="637">
        <v>0</v>
      </c>
      <c r="H257" s="637">
        <v>0</v>
      </c>
      <c r="I257" s="637">
        <v>0</v>
      </c>
      <c r="J257" s="637">
        <v>0</v>
      </c>
      <c r="K257" s="637">
        <v>0</v>
      </c>
      <c r="L257" s="637">
        <v>0</v>
      </c>
      <c r="M257" s="602"/>
      <c r="N257" s="602"/>
      <c r="O257" s="602"/>
      <c r="P257" s="602"/>
      <c r="Q257" s="602"/>
      <c r="R257" s="602"/>
    </row>
    <row r="258" spans="1:18" ht="12" customHeight="1">
      <c r="A258" s="633"/>
      <c r="B258" s="636" t="s">
        <v>238</v>
      </c>
      <c r="C258" s="637">
        <v>1621110</v>
      </c>
      <c r="D258" s="637">
        <v>1259596</v>
      </c>
      <c r="E258" s="637">
        <v>1844400</v>
      </c>
      <c r="F258" s="637">
        <v>1770389</v>
      </c>
      <c r="G258" s="637">
        <v>1023644</v>
      </c>
      <c r="H258" s="637">
        <v>1047973</v>
      </c>
      <c r="I258" s="637">
        <v>1337064</v>
      </c>
      <c r="J258" s="637">
        <v>1253495</v>
      </c>
      <c r="K258" s="637">
        <v>1119899</v>
      </c>
      <c r="L258" s="637">
        <v>1032733</v>
      </c>
      <c r="M258" s="602"/>
      <c r="N258" s="602"/>
      <c r="O258" s="602"/>
      <c r="P258" s="602"/>
      <c r="Q258" s="602"/>
      <c r="R258" s="602"/>
    </row>
    <row r="259" spans="1:18" ht="12" customHeight="1">
      <c r="A259" s="633"/>
      <c r="B259" s="636" t="s">
        <v>239</v>
      </c>
      <c r="C259" s="637">
        <v>0</v>
      </c>
      <c r="D259" s="637">
        <v>0</v>
      </c>
      <c r="E259" s="637">
        <v>0</v>
      </c>
      <c r="F259" s="637">
        <v>0</v>
      </c>
      <c r="G259" s="637">
        <v>0</v>
      </c>
      <c r="H259" s="637">
        <v>0</v>
      </c>
      <c r="I259" s="637">
        <v>0</v>
      </c>
      <c r="J259" s="637">
        <v>0</v>
      </c>
      <c r="K259" s="637">
        <v>0</v>
      </c>
      <c r="L259" s="637">
        <v>0</v>
      </c>
      <c r="M259" s="602"/>
      <c r="N259" s="602"/>
      <c r="O259" s="602"/>
      <c r="P259" s="602"/>
      <c r="Q259" s="602"/>
      <c r="R259" s="602"/>
    </row>
    <row r="260" spans="1:18" ht="12" customHeight="1">
      <c r="A260" s="633"/>
      <c r="B260" s="636" t="s">
        <v>240</v>
      </c>
      <c r="C260" s="637">
        <v>0</v>
      </c>
      <c r="D260" s="637">
        <v>0</v>
      </c>
      <c r="E260" s="637">
        <v>0</v>
      </c>
      <c r="F260" s="637">
        <v>0</v>
      </c>
      <c r="G260" s="637">
        <v>0</v>
      </c>
      <c r="H260" s="637">
        <v>0</v>
      </c>
      <c r="I260" s="637">
        <v>0</v>
      </c>
      <c r="J260" s="637">
        <v>0</v>
      </c>
      <c r="K260" s="637">
        <v>0</v>
      </c>
      <c r="L260" s="637">
        <v>0</v>
      </c>
      <c r="M260" s="602"/>
      <c r="N260" s="602"/>
      <c r="O260" s="602"/>
      <c r="P260" s="602"/>
      <c r="Q260" s="602"/>
      <c r="R260" s="602"/>
    </row>
    <row r="261" spans="1:18" ht="12" customHeight="1">
      <c r="A261" s="633"/>
      <c r="B261" s="636" t="s">
        <v>241</v>
      </c>
      <c r="C261" s="637">
        <v>0</v>
      </c>
      <c r="D261" s="637">
        <v>0</v>
      </c>
      <c r="E261" s="637">
        <v>0</v>
      </c>
      <c r="F261" s="637">
        <v>0</v>
      </c>
      <c r="G261" s="637">
        <v>0</v>
      </c>
      <c r="H261" s="637">
        <v>0</v>
      </c>
      <c r="I261" s="637">
        <v>0</v>
      </c>
      <c r="J261" s="637">
        <v>0</v>
      </c>
      <c r="K261" s="637">
        <v>0</v>
      </c>
      <c r="L261" s="637">
        <v>0</v>
      </c>
      <c r="M261" s="602"/>
      <c r="N261" s="602"/>
      <c r="O261" s="602"/>
      <c r="P261" s="602"/>
      <c r="Q261" s="602"/>
      <c r="R261" s="602"/>
    </row>
    <row r="262" spans="1:18" ht="12" customHeight="1">
      <c r="A262" s="633"/>
      <c r="B262" s="636" t="s">
        <v>242</v>
      </c>
      <c r="C262" s="637">
        <v>189436</v>
      </c>
      <c r="D262" s="637">
        <v>192603</v>
      </c>
      <c r="E262" s="637">
        <v>169420</v>
      </c>
      <c r="F262" s="637">
        <v>42081</v>
      </c>
      <c r="G262" s="637">
        <v>60224</v>
      </c>
      <c r="H262" s="637">
        <v>38346</v>
      </c>
      <c r="I262" s="637">
        <v>475937</v>
      </c>
      <c r="J262" s="637">
        <v>233712</v>
      </c>
      <c r="K262" s="637">
        <v>0</v>
      </c>
      <c r="L262" s="637">
        <v>0</v>
      </c>
      <c r="M262" s="602"/>
      <c r="N262" s="602"/>
      <c r="O262" s="602"/>
      <c r="P262" s="602"/>
      <c r="Q262" s="602"/>
      <c r="R262" s="602"/>
    </row>
    <row r="263" spans="1:18" ht="23.25" customHeight="1">
      <c r="A263" s="633"/>
      <c r="B263" s="636" t="s">
        <v>243</v>
      </c>
      <c r="C263" s="637">
        <v>0</v>
      </c>
      <c r="D263" s="637">
        <v>0</v>
      </c>
      <c r="E263" s="637">
        <v>0</v>
      </c>
      <c r="F263" s="637">
        <v>0</v>
      </c>
      <c r="G263" s="637">
        <v>0</v>
      </c>
      <c r="H263" s="637">
        <v>0</v>
      </c>
      <c r="I263" s="637">
        <v>0</v>
      </c>
      <c r="J263" s="637">
        <v>0</v>
      </c>
      <c r="K263" s="637">
        <v>0</v>
      </c>
      <c r="L263" s="637">
        <v>0</v>
      </c>
      <c r="M263" s="602"/>
      <c r="N263" s="602"/>
      <c r="O263" s="602"/>
      <c r="P263" s="602"/>
      <c r="Q263" s="602"/>
      <c r="R263" s="602"/>
    </row>
    <row r="264" spans="1:18" ht="12" customHeight="1">
      <c r="A264" s="633"/>
      <c r="B264" s="636" t="s">
        <v>244</v>
      </c>
      <c r="C264" s="637">
        <v>0</v>
      </c>
      <c r="D264" s="637">
        <v>0</v>
      </c>
      <c r="E264" s="637">
        <v>0</v>
      </c>
      <c r="F264" s="637">
        <v>0</v>
      </c>
      <c r="G264" s="637">
        <v>0</v>
      </c>
      <c r="H264" s="637">
        <v>0</v>
      </c>
      <c r="I264" s="637">
        <v>0</v>
      </c>
      <c r="J264" s="637">
        <v>0</v>
      </c>
      <c r="K264" s="637">
        <v>0</v>
      </c>
      <c r="L264" s="637">
        <v>0</v>
      </c>
      <c r="M264" s="602"/>
      <c r="N264" s="602"/>
      <c r="O264" s="602"/>
      <c r="P264" s="602"/>
      <c r="Q264" s="602"/>
      <c r="R264" s="602"/>
    </row>
    <row r="265" spans="1:18" ht="23.25" customHeight="1">
      <c r="A265" s="633"/>
      <c r="B265" s="636" t="s">
        <v>245</v>
      </c>
      <c r="C265" s="637">
        <v>0</v>
      </c>
      <c r="D265" s="637">
        <v>0</v>
      </c>
      <c r="E265" s="637">
        <v>0</v>
      </c>
      <c r="F265" s="637">
        <v>0</v>
      </c>
      <c r="G265" s="637">
        <v>0</v>
      </c>
      <c r="H265" s="637">
        <v>0</v>
      </c>
      <c r="I265" s="637">
        <v>0</v>
      </c>
      <c r="J265" s="637">
        <v>0</v>
      </c>
      <c r="K265" s="637">
        <v>0</v>
      </c>
      <c r="L265" s="637">
        <v>0</v>
      </c>
      <c r="M265" s="602"/>
      <c r="N265" s="602"/>
      <c r="O265" s="602"/>
      <c r="P265" s="602"/>
      <c r="Q265" s="602"/>
      <c r="R265" s="602"/>
    </row>
    <row r="266" spans="1:18" ht="12" customHeight="1">
      <c r="A266" s="633"/>
      <c r="B266" s="636" t="s">
        <v>246</v>
      </c>
      <c r="C266" s="637">
        <v>0</v>
      </c>
      <c r="D266" s="637">
        <v>0</v>
      </c>
      <c r="E266" s="637">
        <v>0</v>
      </c>
      <c r="F266" s="637">
        <v>0</v>
      </c>
      <c r="G266" s="637">
        <v>0</v>
      </c>
      <c r="H266" s="637">
        <v>0</v>
      </c>
      <c r="I266" s="637">
        <v>0</v>
      </c>
      <c r="J266" s="637">
        <v>0</v>
      </c>
      <c r="K266" s="637">
        <v>0</v>
      </c>
      <c r="L266" s="637">
        <v>0</v>
      </c>
      <c r="M266" s="602"/>
      <c r="N266" s="602"/>
      <c r="O266" s="602"/>
      <c r="P266" s="602"/>
      <c r="Q266" s="602"/>
      <c r="R266" s="602"/>
    </row>
    <row r="267" spans="1:18" ht="23.25" customHeight="1">
      <c r="A267" s="633"/>
      <c r="B267" s="636" t="s">
        <v>247</v>
      </c>
      <c r="C267" s="637">
        <v>0</v>
      </c>
      <c r="D267" s="637">
        <v>0</v>
      </c>
      <c r="E267" s="637">
        <v>0</v>
      </c>
      <c r="F267" s="637">
        <v>0</v>
      </c>
      <c r="G267" s="637">
        <v>0</v>
      </c>
      <c r="H267" s="637">
        <v>0</v>
      </c>
      <c r="I267" s="637">
        <v>0</v>
      </c>
      <c r="J267" s="637">
        <v>0</v>
      </c>
      <c r="K267" s="637">
        <v>0</v>
      </c>
      <c r="L267" s="637">
        <v>0</v>
      </c>
      <c r="M267" s="602"/>
      <c r="N267" s="602"/>
      <c r="O267" s="602"/>
      <c r="P267" s="602"/>
      <c r="Q267" s="602"/>
      <c r="R267" s="602"/>
    </row>
    <row r="268" spans="1:18" ht="23.25" customHeight="1">
      <c r="A268" s="633"/>
      <c r="B268" s="636" t="s">
        <v>248</v>
      </c>
      <c r="C268" s="637">
        <v>0</v>
      </c>
      <c r="D268" s="637">
        <v>0</v>
      </c>
      <c r="E268" s="637">
        <v>0</v>
      </c>
      <c r="F268" s="637">
        <v>0</v>
      </c>
      <c r="G268" s="637">
        <v>0</v>
      </c>
      <c r="H268" s="637">
        <v>0</v>
      </c>
      <c r="I268" s="637">
        <v>0</v>
      </c>
      <c r="J268" s="637">
        <v>0</v>
      </c>
      <c r="K268" s="637">
        <v>0</v>
      </c>
      <c r="L268" s="635" t="s">
        <v>104</v>
      </c>
      <c r="M268" s="602"/>
      <c r="N268" s="602"/>
      <c r="O268" s="602"/>
      <c r="P268" s="602"/>
      <c r="Q268" s="602"/>
      <c r="R268" s="602"/>
    </row>
    <row r="269" spans="1:18" ht="23.25" customHeight="1">
      <c r="A269" s="633"/>
      <c r="B269" s="636" t="s">
        <v>249</v>
      </c>
      <c r="C269" s="637">
        <v>0</v>
      </c>
      <c r="D269" s="637">
        <v>0</v>
      </c>
      <c r="E269" s="637">
        <v>0</v>
      </c>
      <c r="F269" s="637">
        <v>0</v>
      </c>
      <c r="G269" s="637">
        <v>0</v>
      </c>
      <c r="H269" s="637">
        <v>0</v>
      </c>
      <c r="I269" s="637">
        <v>0</v>
      </c>
      <c r="J269" s="637">
        <v>0</v>
      </c>
      <c r="K269" s="637">
        <v>0</v>
      </c>
      <c r="L269" s="635" t="s">
        <v>104</v>
      </c>
      <c r="M269" s="602"/>
      <c r="N269" s="602"/>
      <c r="O269" s="602"/>
      <c r="P269" s="602"/>
      <c r="Q269" s="602"/>
      <c r="R269" s="602"/>
    </row>
    <row r="270" spans="1:18" ht="12" customHeight="1">
      <c r="A270" s="633"/>
      <c r="B270" s="636" t="s">
        <v>250</v>
      </c>
      <c r="C270" s="637">
        <v>45070</v>
      </c>
      <c r="D270" s="637">
        <v>105048</v>
      </c>
      <c r="E270" s="637">
        <v>75574</v>
      </c>
      <c r="F270" s="637">
        <v>155494</v>
      </c>
      <c r="G270" s="637">
        <v>43393</v>
      </c>
      <c r="H270" s="637">
        <v>25687</v>
      </c>
      <c r="I270" s="637">
        <v>28748</v>
      </c>
      <c r="J270" s="637">
        <v>24664</v>
      </c>
      <c r="K270" s="637">
        <v>59997</v>
      </c>
      <c r="L270" s="637">
        <v>37204</v>
      </c>
      <c r="M270" s="602"/>
      <c r="N270" s="602"/>
      <c r="O270" s="602"/>
      <c r="P270" s="602"/>
      <c r="Q270" s="602"/>
      <c r="R270" s="602"/>
    </row>
    <row r="271" spans="1:18" ht="12" customHeight="1">
      <c r="A271" s="633"/>
      <c r="B271" s="636" t="s">
        <v>251</v>
      </c>
      <c r="C271" s="637">
        <v>0</v>
      </c>
      <c r="D271" s="637">
        <v>0</v>
      </c>
      <c r="E271" s="637">
        <v>0</v>
      </c>
      <c r="F271" s="637">
        <v>0</v>
      </c>
      <c r="G271" s="637">
        <v>0</v>
      </c>
      <c r="H271" s="637">
        <v>0</v>
      </c>
      <c r="I271" s="637">
        <v>0</v>
      </c>
      <c r="J271" s="637">
        <v>0</v>
      </c>
      <c r="K271" s="637">
        <v>0</v>
      </c>
      <c r="L271" s="637">
        <v>0</v>
      </c>
      <c r="M271" s="602"/>
      <c r="N271" s="602"/>
      <c r="O271" s="602"/>
      <c r="P271" s="602"/>
      <c r="Q271" s="602"/>
      <c r="R271" s="602"/>
    </row>
    <row r="272" spans="1:18" ht="12" customHeight="1">
      <c r="A272" s="633"/>
      <c r="B272" s="636" t="s">
        <v>252</v>
      </c>
      <c r="C272" s="637">
        <v>76288</v>
      </c>
      <c r="D272" s="637">
        <v>63738</v>
      </c>
      <c r="E272" s="637">
        <v>56938</v>
      </c>
      <c r="F272" s="637">
        <v>30014</v>
      </c>
      <c r="G272" s="637">
        <v>10997</v>
      </c>
      <c r="H272" s="637">
        <v>40044</v>
      </c>
      <c r="I272" s="637">
        <v>37942</v>
      </c>
      <c r="J272" s="637">
        <v>28065</v>
      </c>
      <c r="K272" s="637">
        <v>18776</v>
      </c>
      <c r="L272" s="637">
        <v>18978</v>
      </c>
      <c r="M272" s="602"/>
      <c r="N272" s="602"/>
      <c r="O272" s="602"/>
      <c r="P272" s="602"/>
      <c r="Q272" s="602"/>
      <c r="R272" s="602"/>
    </row>
    <row r="273" spans="1:18" ht="23.25" customHeight="1">
      <c r="A273" s="633"/>
      <c r="B273" s="636" t="s">
        <v>253</v>
      </c>
      <c r="C273" s="637">
        <v>0</v>
      </c>
      <c r="D273" s="637">
        <v>0</v>
      </c>
      <c r="E273" s="637">
        <v>0</v>
      </c>
      <c r="F273" s="637">
        <v>0</v>
      </c>
      <c r="G273" s="637">
        <v>0</v>
      </c>
      <c r="H273" s="637">
        <v>0</v>
      </c>
      <c r="I273" s="637">
        <v>0</v>
      </c>
      <c r="J273" s="637">
        <v>0</v>
      </c>
      <c r="K273" s="637">
        <v>0</v>
      </c>
      <c r="L273" s="637">
        <v>0</v>
      </c>
      <c r="M273" s="602"/>
      <c r="N273" s="602"/>
      <c r="O273" s="602"/>
      <c r="P273" s="602"/>
      <c r="Q273" s="602"/>
      <c r="R273" s="602"/>
    </row>
    <row r="274" spans="1:18" ht="12" customHeight="1">
      <c r="A274" s="633"/>
      <c r="B274" s="636" t="s">
        <v>254</v>
      </c>
      <c r="C274" s="637">
        <v>593590</v>
      </c>
      <c r="D274" s="637">
        <v>536222</v>
      </c>
      <c r="E274" s="637">
        <v>483612</v>
      </c>
      <c r="F274" s="637">
        <v>541150</v>
      </c>
      <c r="G274" s="637">
        <v>438760</v>
      </c>
      <c r="H274" s="637">
        <v>439097</v>
      </c>
      <c r="I274" s="637">
        <v>398441</v>
      </c>
      <c r="J274" s="637">
        <v>328068</v>
      </c>
      <c r="K274" s="637">
        <v>314293</v>
      </c>
      <c r="L274" s="637">
        <v>31350</v>
      </c>
      <c r="M274" s="602"/>
      <c r="N274" s="602"/>
      <c r="O274" s="602"/>
      <c r="P274" s="602"/>
      <c r="Q274" s="602"/>
      <c r="R274" s="602"/>
    </row>
    <row r="275" spans="1:18" ht="12" customHeight="1">
      <c r="A275" s="633"/>
      <c r="B275" s="636" t="s">
        <v>255</v>
      </c>
      <c r="C275" s="637">
        <v>0</v>
      </c>
      <c r="D275" s="637">
        <v>0</v>
      </c>
      <c r="E275" s="637">
        <v>0</v>
      </c>
      <c r="F275" s="637">
        <v>0</v>
      </c>
      <c r="G275" s="637">
        <v>0</v>
      </c>
      <c r="H275" s="637">
        <v>0</v>
      </c>
      <c r="I275" s="637">
        <v>0</v>
      </c>
      <c r="J275" s="637">
        <v>0</v>
      </c>
      <c r="K275" s="637">
        <v>0</v>
      </c>
      <c r="L275" s="637">
        <v>0</v>
      </c>
      <c r="M275" s="602"/>
      <c r="N275" s="602"/>
      <c r="O275" s="602"/>
      <c r="P275" s="602"/>
      <c r="Q275" s="602"/>
      <c r="R275" s="602"/>
    </row>
    <row r="276" spans="1:18" ht="12" customHeight="1">
      <c r="A276" s="633"/>
      <c r="B276" s="636" t="s">
        <v>256</v>
      </c>
      <c r="C276" s="637">
        <v>4310688</v>
      </c>
      <c r="D276" s="637">
        <v>4224792</v>
      </c>
      <c r="E276" s="637">
        <v>3523741</v>
      </c>
      <c r="F276" s="637">
        <v>3713611</v>
      </c>
      <c r="G276" s="637">
        <v>1985371</v>
      </c>
      <c r="H276" s="637">
        <v>2545549</v>
      </c>
      <c r="I276" s="637">
        <v>3501106</v>
      </c>
      <c r="J276" s="637">
        <v>2131099</v>
      </c>
      <c r="K276" s="637">
        <v>2098470</v>
      </c>
      <c r="L276" s="637">
        <v>1743559</v>
      </c>
      <c r="M276" s="602"/>
      <c r="N276" s="602"/>
      <c r="O276" s="602"/>
      <c r="P276" s="602"/>
      <c r="Q276" s="602"/>
      <c r="R276" s="602"/>
    </row>
    <row r="277" spans="1:18" ht="12" customHeight="1">
      <c r="A277" s="633"/>
      <c r="B277" s="636" t="s">
        <v>257</v>
      </c>
      <c r="C277" s="637">
        <v>4890278</v>
      </c>
      <c r="D277" s="637">
        <v>4243554</v>
      </c>
      <c r="E277" s="637">
        <v>4483132</v>
      </c>
      <c r="F277" s="637">
        <v>3314910</v>
      </c>
      <c r="G277" s="637">
        <v>3890830</v>
      </c>
      <c r="H277" s="637">
        <v>3267673</v>
      </c>
      <c r="I277" s="637">
        <v>2757906</v>
      </c>
      <c r="J277" s="637">
        <v>2492961</v>
      </c>
      <c r="K277" s="637">
        <v>1908617</v>
      </c>
      <c r="L277" s="637">
        <v>2146212</v>
      </c>
      <c r="M277" s="602"/>
      <c r="N277" s="602"/>
      <c r="O277" s="602"/>
      <c r="P277" s="602"/>
      <c r="Q277" s="602"/>
      <c r="R277" s="602"/>
    </row>
    <row r="278" spans="1:18" ht="12" customHeight="1">
      <c r="A278" s="633"/>
      <c r="B278" s="634"/>
      <c r="C278" s="634"/>
      <c r="D278" s="634"/>
      <c r="E278" s="634"/>
      <c r="F278" s="634"/>
      <c r="G278" s="634"/>
      <c r="H278" s="634"/>
      <c r="I278" s="634"/>
      <c r="J278" s="634"/>
      <c r="K278" s="634"/>
      <c r="L278" s="634"/>
      <c r="M278" s="602"/>
      <c r="N278" s="602"/>
      <c r="O278" s="602"/>
      <c r="P278" s="602"/>
      <c r="Q278" s="602"/>
      <c r="R278" s="602"/>
    </row>
    <row r="279" spans="1:18" ht="12" customHeight="1">
      <c r="A279" s="633"/>
      <c r="B279" s="636" t="s">
        <v>258</v>
      </c>
      <c r="C279" s="637">
        <v>4310688</v>
      </c>
      <c r="D279" s="637">
        <v>4224792</v>
      </c>
      <c r="E279" s="637">
        <v>3523741</v>
      </c>
      <c r="F279" s="637">
        <v>3713611</v>
      </c>
      <c r="G279" s="637">
        <v>1985371</v>
      </c>
      <c r="H279" s="637">
        <v>2545549</v>
      </c>
      <c r="I279" s="637">
        <v>3501106</v>
      </c>
      <c r="J279" s="637">
        <v>2131099</v>
      </c>
      <c r="K279" s="637">
        <v>2098470</v>
      </c>
      <c r="L279" s="637">
        <v>1743559</v>
      </c>
      <c r="M279" s="602"/>
      <c r="N279" s="602"/>
      <c r="O279" s="602"/>
      <c r="P279" s="602"/>
      <c r="Q279" s="602"/>
      <c r="R279" s="602"/>
    </row>
    <row r="280" spans="1:18" ht="12" customHeight="1">
      <c r="A280" s="633"/>
      <c r="B280" s="636" t="s">
        <v>259</v>
      </c>
      <c r="C280" s="637">
        <v>4890278</v>
      </c>
      <c r="D280" s="637">
        <v>4243554</v>
      </c>
      <c r="E280" s="637">
        <v>4483132</v>
      </c>
      <c r="F280" s="637">
        <v>3314910</v>
      </c>
      <c r="G280" s="637">
        <v>3890830</v>
      </c>
      <c r="H280" s="637">
        <v>3267673</v>
      </c>
      <c r="I280" s="637">
        <v>2757906</v>
      </c>
      <c r="J280" s="637">
        <v>2492961</v>
      </c>
      <c r="K280" s="637">
        <v>1908617</v>
      </c>
      <c r="L280" s="637">
        <v>2146212</v>
      </c>
      <c r="M280" s="602"/>
      <c r="N280" s="602"/>
      <c r="O280" s="602"/>
      <c r="P280" s="602"/>
      <c r="Q280" s="602"/>
      <c r="R280" s="602"/>
    </row>
    <row r="281" spans="1:18" ht="12" customHeight="1">
      <c r="A281" s="633"/>
      <c r="B281" s="634"/>
      <c r="C281" s="634"/>
      <c r="D281" s="634"/>
      <c r="E281" s="634"/>
      <c r="F281" s="634"/>
      <c r="G281" s="634"/>
      <c r="H281" s="634"/>
      <c r="I281" s="634"/>
      <c r="J281" s="634"/>
      <c r="K281" s="634"/>
      <c r="L281" s="634"/>
      <c r="M281" s="602"/>
      <c r="N281" s="602"/>
      <c r="O281" s="602"/>
      <c r="P281" s="602"/>
      <c r="Q281" s="602"/>
      <c r="R281" s="602"/>
    </row>
    <row r="282" spans="1:18" ht="23.25" customHeight="1">
      <c r="A282" s="633"/>
      <c r="B282" s="636" t="s">
        <v>260</v>
      </c>
      <c r="C282" s="637">
        <v>324010</v>
      </c>
      <c r="D282" s="637">
        <v>316993</v>
      </c>
      <c r="E282" s="637">
        <v>305265</v>
      </c>
      <c r="F282" s="637">
        <v>222564</v>
      </c>
      <c r="G282" s="637">
        <v>186842</v>
      </c>
      <c r="H282" s="637">
        <v>162854</v>
      </c>
      <c r="I282" s="637">
        <v>145587</v>
      </c>
      <c r="J282" s="637">
        <v>106037</v>
      </c>
      <c r="K282" s="637">
        <v>74538</v>
      </c>
      <c r="L282" s="637">
        <v>73310</v>
      </c>
      <c r="M282" s="602"/>
      <c r="N282" s="602"/>
      <c r="O282" s="602"/>
      <c r="P282" s="602"/>
      <c r="Q282" s="602"/>
      <c r="R282" s="602"/>
    </row>
    <row r="283" spans="1:18" ht="12" customHeight="1">
      <c r="A283" s="633"/>
      <c r="B283" s="636" t="s">
        <v>261</v>
      </c>
      <c r="C283" s="635" t="s">
        <v>104</v>
      </c>
      <c r="D283" s="635" t="s">
        <v>104</v>
      </c>
      <c r="E283" s="635" t="s">
        <v>104</v>
      </c>
      <c r="F283" s="635" t="s">
        <v>104</v>
      </c>
      <c r="G283" s="635" t="s">
        <v>104</v>
      </c>
      <c r="H283" s="635" t="s">
        <v>104</v>
      </c>
      <c r="I283" s="635" t="s">
        <v>104</v>
      </c>
      <c r="J283" s="635" t="s">
        <v>104</v>
      </c>
      <c r="K283" s="635" t="s">
        <v>104</v>
      </c>
      <c r="L283" s="635" t="s">
        <v>104</v>
      </c>
      <c r="M283" s="602"/>
      <c r="N283" s="602"/>
      <c r="O283" s="602"/>
      <c r="P283" s="602"/>
      <c r="Q283" s="602"/>
      <c r="R283" s="602"/>
    </row>
    <row r="284" spans="1:18" ht="12" customHeight="1">
      <c r="A284" s="633"/>
      <c r="B284" s="634"/>
      <c r="C284" s="634"/>
      <c r="D284" s="634"/>
      <c r="E284" s="634"/>
      <c r="F284" s="634"/>
      <c r="G284" s="634"/>
      <c r="H284" s="634"/>
      <c r="I284" s="634"/>
      <c r="J284" s="634"/>
      <c r="K284" s="634"/>
      <c r="L284" s="634"/>
      <c r="M284" s="602"/>
      <c r="N284" s="602"/>
      <c r="O284" s="602"/>
      <c r="P284" s="602"/>
      <c r="Q284" s="602"/>
      <c r="R284" s="602"/>
    </row>
    <row r="285" spans="1:18" ht="12" customHeight="1">
      <c r="A285" s="633"/>
      <c r="B285" s="636" t="s">
        <v>262</v>
      </c>
      <c r="C285" s="637">
        <v>12930506</v>
      </c>
      <c r="D285" s="637">
        <v>11990730</v>
      </c>
      <c r="E285" s="637">
        <v>10877098</v>
      </c>
      <c r="F285" s="637">
        <v>8985482</v>
      </c>
      <c r="G285" s="637">
        <v>7250567</v>
      </c>
      <c r="H285" s="637">
        <v>6831833</v>
      </c>
      <c r="I285" s="637">
        <v>7194117</v>
      </c>
      <c r="J285" s="637">
        <v>5269792</v>
      </c>
      <c r="K285" s="637">
        <v>4342288</v>
      </c>
      <c r="L285" s="637">
        <v>4392744</v>
      </c>
      <c r="M285" s="602"/>
      <c r="N285" s="602"/>
      <c r="O285" s="602"/>
      <c r="P285" s="602"/>
      <c r="Q285" s="602"/>
      <c r="R285" s="602"/>
    </row>
    <row r="286" spans="1:18" ht="12" customHeight="1">
      <c r="A286" s="633"/>
      <c r="B286" s="634"/>
      <c r="C286" s="634"/>
      <c r="D286" s="634"/>
      <c r="E286" s="634"/>
      <c r="F286" s="634"/>
      <c r="G286" s="634"/>
      <c r="H286" s="634"/>
      <c r="I286" s="634"/>
      <c r="J286" s="634"/>
      <c r="K286" s="634"/>
      <c r="L286" s="634"/>
      <c r="M286" s="602"/>
      <c r="N286" s="602"/>
      <c r="O286" s="602"/>
      <c r="P286" s="602"/>
      <c r="Q286" s="602"/>
      <c r="R286" s="602"/>
    </row>
    <row r="287" spans="1:18" ht="12" customHeight="1">
      <c r="A287" s="633"/>
      <c r="B287" s="636" t="s">
        <v>263</v>
      </c>
      <c r="C287" s="637">
        <v>0</v>
      </c>
      <c r="D287" s="637">
        <v>0</v>
      </c>
      <c r="E287" s="637">
        <v>0</v>
      </c>
      <c r="F287" s="637">
        <v>0</v>
      </c>
      <c r="G287" s="637">
        <v>0</v>
      </c>
      <c r="H287" s="637">
        <v>0</v>
      </c>
      <c r="I287" s="637">
        <v>0</v>
      </c>
      <c r="J287" s="637">
        <v>0</v>
      </c>
      <c r="K287" s="637">
        <v>0</v>
      </c>
      <c r="L287" s="637">
        <v>0</v>
      </c>
      <c r="M287" s="602"/>
      <c r="N287" s="602"/>
      <c r="O287" s="602"/>
      <c r="P287" s="602"/>
      <c r="Q287" s="602"/>
      <c r="R287" s="602"/>
    </row>
    <row r="288" spans="1:18" ht="12" customHeight="1">
      <c r="A288" s="633"/>
      <c r="B288" s="636" t="s">
        <v>264</v>
      </c>
      <c r="C288" s="637">
        <v>0</v>
      </c>
      <c r="D288" s="637">
        <v>0</v>
      </c>
      <c r="E288" s="637">
        <v>0</v>
      </c>
      <c r="F288" s="637">
        <v>0</v>
      </c>
      <c r="G288" s="637">
        <v>0</v>
      </c>
      <c r="H288" s="637">
        <v>0</v>
      </c>
      <c r="I288" s="637">
        <v>0</v>
      </c>
      <c r="J288" s="637">
        <v>0</v>
      </c>
      <c r="K288" s="637">
        <v>0</v>
      </c>
      <c r="L288" s="637">
        <v>0</v>
      </c>
      <c r="M288" s="602"/>
      <c r="N288" s="602"/>
      <c r="O288" s="602"/>
      <c r="P288" s="602"/>
      <c r="Q288" s="602"/>
      <c r="R288" s="602"/>
    </row>
    <row r="289" spans="1:18" ht="12" customHeight="1">
      <c r="A289" s="633"/>
      <c r="B289" s="634"/>
      <c r="C289" s="634"/>
      <c r="D289" s="634"/>
      <c r="E289" s="634"/>
      <c r="F289" s="634"/>
      <c r="G289" s="634"/>
      <c r="H289" s="634"/>
      <c r="I289" s="634"/>
      <c r="J289" s="634"/>
      <c r="K289" s="634"/>
      <c r="L289" s="634"/>
      <c r="M289" s="602"/>
      <c r="N289" s="602"/>
      <c r="O289" s="602"/>
      <c r="P289" s="602"/>
      <c r="Q289" s="602"/>
      <c r="R289" s="602"/>
    </row>
    <row r="290" spans="1:18" ht="12" customHeight="1">
      <c r="A290" s="599"/>
      <c r="B290" s="602"/>
      <c r="C290" s="602"/>
      <c r="D290" s="602"/>
      <c r="E290" s="602"/>
      <c r="F290" s="602"/>
      <c r="G290" s="602"/>
      <c r="H290" s="602"/>
      <c r="I290" s="602"/>
      <c r="J290" s="602"/>
      <c r="K290" s="602"/>
      <c r="L290" s="602"/>
      <c r="M290" s="602"/>
      <c r="N290" s="602"/>
      <c r="O290" s="602"/>
      <c r="P290" s="602"/>
      <c r="Q290" s="602"/>
      <c r="R290" s="602"/>
    </row>
    <row r="291" spans="1:18" ht="15.75" customHeight="1">
      <c r="A291" s="614" t="s">
        <v>265</v>
      </c>
      <c r="B291" s="615"/>
      <c r="C291" s="602"/>
      <c r="D291" s="602"/>
      <c r="E291" s="602"/>
      <c r="F291" s="602"/>
      <c r="G291" s="602"/>
      <c r="H291" s="602"/>
      <c r="I291" s="602"/>
      <c r="J291" s="602"/>
      <c r="K291" s="602"/>
      <c r="L291" s="602"/>
      <c r="M291" s="602"/>
      <c r="N291" s="602"/>
      <c r="O291" s="602"/>
      <c r="P291" s="602"/>
      <c r="Q291" s="602"/>
      <c r="R291" s="602"/>
    </row>
    <row r="292" spans="1:18" ht="12" customHeight="1">
      <c r="A292" s="599"/>
      <c r="B292" s="602"/>
      <c r="C292" s="602"/>
      <c r="D292" s="602"/>
      <c r="E292" s="602"/>
      <c r="F292" s="602"/>
      <c r="G292" s="602"/>
      <c r="H292" s="602"/>
      <c r="I292" s="602"/>
      <c r="J292" s="602"/>
      <c r="K292" s="602"/>
      <c r="L292" s="602"/>
      <c r="M292" s="602"/>
      <c r="N292" s="602"/>
      <c r="O292" s="602"/>
      <c r="P292" s="602"/>
      <c r="Q292" s="602"/>
      <c r="R292" s="602"/>
    </row>
    <row r="293" spans="1:18" ht="23.25" customHeight="1">
      <c r="A293" s="630"/>
      <c r="B293" s="631" t="s">
        <v>32</v>
      </c>
      <c r="C293" s="632" t="s">
        <v>70</v>
      </c>
      <c r="D293" s="632" t="s">
        <v>71</v>
      </c>
      <c r="E293" s="632" t="s">
        <v>72</v>
      </c>
      <c r="F293" s="632" t="s">
        <v>73</v>
      </c>
      <c r="G293" s="632" t="s">
        <v>74</v>
      </c>
      <c r="H293" s="632" t="s">
        <v>75</v>
      </c>
      <c r="I293" s="632" t="s">
        <v>76</v>
      </c>
      <c r="J293" s="632" t="s">
        <v>77</v>
      </c>
      <c r="K293" s="632" t="s">
        <v>78</v>
      </c>
      <c r="L293" s="632" t="s">
        <v>79</v>
      </c>
      <c r="M293" s="602"/>
      <c r="N293" s="602"/>
      <c r="O293" s="602"/>
      <c r="P293" s="602"/>
      <c r="Q293" s="602"/>
      <c r="R293" s="602"/>
    </row>
    <row r="294" spans="1:18" ht="34.5" customHeight="1">
      <c r="A294" s="633"/>
      <c r="B294" s="634"/>
      <c r="C294" s="635" t="s">
        <v>80</v>
      </c>
      <c r="D294" s="635" t="s">
        <v>80</v>
      </c>
      <c r="E294" s="635" t="s">
        <v>80</v>
      </c>
      <c r="F294" s="635" t="s">
        <v>80</v>
      </c>
      <c r="G294" s="635" t="s">
        <v>80</v>
      </c>
      <c r="H294" s="635" t="s">
        <v>80</v>
      </c>
      <c r="I294" s="635" t="s">
        <v>80</v>
      </c>
      <c r="J294" s="635" t="s">
        <v>81</v>
      </c>
      <c r="K294" s="635" t="s">
        <v>81</v>
      </c>
      <c r="L294" s="635" t="s">
        <v>81</v>
      </c>
      <c r="M294" s="602"/>
      <c r="N294" s="602"/>
      <c r="O294" s="602"/>
      <c r="P294" s="602"/>
      <c r="Q294" s="602"/>
      <c r="R294" s="602"/>
    </row>
    <row r="295" spans="1:18" ht="12" customHeight="1">
      <c r="A295" s="633"/>
      <c r="B295" s="636" t="s">
        <v>266</v>
      </c>
      <c r="C295" s="637">
        <v>15406421</v>
      </c>
      <c r="D295" s="637">
        <v>14950204</v>
      </c>
      <c r="E295" s="637">
        <v>14473142</v>
      </c>
      <c r="F295" s="637">
        <v>12660706</v>
      </c>
      <c r="G295" s="637">
        <v>9241787</v>
      </c>
      <c r="H295" s="637">
        <v>10560719</v>
      </c>
      <c r="I295" s="637">
        <v>10659256</v>
      </c>
      <c r="J295" s="637">
        <v>9262499</v>
      </c>
      <c r="K295" s="637">
        <v>8095324</v>
      </c>
      <c r="L295" s="637">
        <v>6514953</v>
      </c>
      <c r="M295" s="602"/>
      <c r="N295" s="602"/>
      <c r="O295" s="602"/>
      <c r="P295" s="602"/>
      <c r="Q295" s="602"/>
      <c r="R295" s="602"/>
    </row>
    <row r="296" spans="1:18" ht="12" customHeight="1">
      <c r="A296" s="633"/>
      <c r="B296" s="636" t="s">
        <v>267</v>
      </c>
      <c r="C296" s="637">
        <v>14885328</v>
      </c>
      <c r="D296" s="637">
        <v>14294364</v>
      </c>
      <c r="E296" s="637">
        <v>13782014</v>
      </c>
      <c r="F296" s="637">
        <v>11619465</v>
      </c>
      <c r="G296" s="637">
        <v>8552816</v>
      </c>
      <c r="H296" s="637">
        <v>9712939</v>
      </c>
      <c r="I296" s="637">
        <v>10220941</v>
      </c>
      <c r="J296" s="637">
        <v>8912701</v>
      </c>
      <c r="K296" s="637">
        <v>7807091</v>
      </c>
      <c r="L296" s="637">
        <v>6287625</v>
      </c>
      <c r="M296" s="602"/>
      <c r="N296" s="602"/>
      <c r="O296" s="602"/>
      <c r="P296" s="602"/>
      <c r="Q296" s="602"/>
      <c r="R296" s="602"/>
    </row>
    <row r="297" spans="1:18" ht="12" customHeight="1">
      <c r="A297" s="633"/>
      <c r="B297" s="636" t="s">
        <v>268</v>
      </c>
      <c r="C297" s="637">
        <v>0</v>
      </c>
      <c r="D297" s="637">
        <v>0</v>
      </c>
      <c r="E297" s="637">
        <v>0</v>
      </c>
      <c r="F297" s="637">
        <v>0</v>
      </c>
      <c r="G297" s="637">
        <v>0</v>
      </c>
      <c r="H297" s="637">
        <v>0</v>
      </c>
      <c r="I297" s="637">
        <v>0</v>
      </c>
      <c r="J297" s="637">
        <v>0</v>
      </c>
      <c r="K297" s="637">
        <v>0</v>
      </c>
      <c r="L297" s="637">
        <v>0</v>
      </c>
      <c r="M297" s="602"/>
      <c r="N297" s="602"/>
      <c r="O297" s="602"/>
      <c r="P297" s="602"/>
      <c r="Q297" s="602"/>
      <c r="R297" s="602"/>
    </row>
    <row r="298" spans="1:18" ht="12" customHeight="1">
      <c r="A298" s="633"/>
      <c r="B298" s="636" t="s">
        <v>269</v>
      </c>
      <c r="C298" s="637">
        <v>0</v>
      </c>
      <c r="D298" s="637">
        <v>0</v>
      </c>
      <c r="E298" s="637">
        <v>0</v>
      </c>
      <c r="F298" s="637">
        <v>0</v>
      </c>
      <c r="G298" s="637">
        <v>0</v>
      </c>
      <c r="H298" s="637">
        <v>0</v>
      </c>
      <c r="I298" s="637">
        <v>0</v>
      </c>
      <c r="J298" s="637">
        <v>0</v>
      </c>
      <c r="K298" s="637">
        <v>0</v>
      </c>
      <c r="L298" s="637">
        <v>0</v>
      </c>
      <c r="M298" s="602"/>
      <c r="N298" s="602"/>
      <c r="O298" s="602"/>
      <c r="P298" s="602"/>
      <c r="Q298" s="602"/>
      <c r="R298" s="602"/>
    </row>
    <row r="299" spans="1:18" ht="12" customHeight="1">
      <c r="A299" s="633"/>
      <c r="B299" s="636" t="s">
        <v>270</v>
      </c>
      <c r="C299" s="637">
        <v>0</v>
      </c>
      <c r="D299" s="637">
        <v>0</v>
      </c>
      <c r="E299" s="637">
        <v>0</v>
      </c>
      <c r="F299" s="637">
        <v>0</v>
      </c>
      <c r="G299" s="637">
        <v>0</v>
      </c>
      <c r="H299" s="637">
        <v>0</v>
      </c>
      <c r="I299" s="637">
        <v>0</v>
      </c>
      <c r="J299" s="637">
        <v>0</v>
      </c>
      <c r="K299" s="637">
        <v>0</v>
      </c>
      <c r="L299" s="637">
        <v>0</v>
      </c>
      <c r="M299" s="602"/>
      <c r="N299" s="602"/>
      <c r="O299" s="602"/>
      <c r="P299" s="602"/>
      <c r="Q299" s="602"/>
      <c r="R299" s="602"/>
    </row>
    <row r="300" spans="1:18" ht="12" customHeight="1">
      <c r="A300" s="633"/>
      <c r="B300" s="636" t="s">
        <v>271</v>
      </c>
      <c r="C300" s="637">
        <v>0</v>
      </c>
      <c r="D300" s="637">
        <v>0</v>
      </c>
      <c r="E300" s="637">
        <v>0</v>
      </c>
      <c r="F300" s="637">
        <v>0</v>
      </c>
      <c r="G300" s="637">
        <v>0</v>
      </c>
      <c r="H300" s="637">
        <v>0</v>
      </c>
      <c r="I300" s="637">
        <v>0</v>
      </c>
      <c r="J300" s="637">
        <v>0</v>
      </c>
      <c r="K300" s="637">
        <v>0</v>
      </c>
      <c r="L300" s="637">
        <v>0</v>
      </c>
      <c r="M300" s="602"/>
      <c r="N300" s="602"/>
      <c r="O300" s="602"/>
      <c r="P300" s="602"/>
      <c r="Q300" s="602"/>
      <c r="R300" s="602"/>
    </row>
    <row r="301" spans="1:18" ht="12" customHeight="1">
      <c r="A301" s="633"/>
      <c r="B301" s="636" t="s">
        <v>272</v>
      </c>
      <c r="C301" s="637">
        <v>521093</v>
      </c>
      <c r="D301" s="637">
        <v>655840</v>
      </c>
      <c r="E301" s="637">
        <v>691128</v>
      </c>
      <c r="F301" s="637">
        <v>1041241</v>
      </c>
      <c r="G301" s="637">
        <v>688971</v>
      </c>
      <c r="H301" s="637">
        <v>847780</v>
      </c>
      <c r="I301" s="637">
        <v>438315</v>
      </c>
      <c r="J301" s="637">
        <v>349798</v>
      </c>
      <c r="K301" s="637">
        <v>288233</v>
      </c>
      <c r="L301" s="637">
        <v>227328</v>
      </c>
      <c r="M301" s="602"/>
      <c r="N301" s="602"/>
      <c r="O301" s="602"/>
      <c r="P301" s="602"/>
      <c r="Q301" s="602"/>
      <c r="R301" s="602"/>
    </row>
    <row r="302" spans="1:18" ht="12" customHeight="1">
      <c r="A302" s="633"/>
      <c r="B302" s="636" t="s">
        <v>273</v>
      </c>
      <c r="C302" s="637">
        <v>149873</v>
      </c>
      <c r="D302" s="637">
        <v>360311</v>
      </c>
      <c r="E302" s="637">
        <v>404719</v>
      </c>
      <c r="F302" s="637">
        <v>445901</v>
      </c>
      <c r="G302" s="637">
        <v>260024</v>
      </c>
      <c r="H302" s="637">
        <v>641183</v>
      </c>
      <c r="I302" s="637">
        <v>0</v>
      </c>
      <c r="J302" s="637">
        <v>0</v>
      </c>
      <c r="K302" s="637">
        <v>0</v>
      </c>
      <c r="L302" s="637">
        <v>0</v>
      </c>
      <c r="M302" s="602"/>
      <c r="N302" s="602"/>
      <c r="O302" s="602"/>
      <c r="P302" s="602"/>
      <c r="Q302" s="602"/>
      <c r="R302" s="602"/>
    </row>
    <row r="303" spans="1:18" ht="12" customHeight="1">
      <c r="A303" s="633"/>
      <c r="B303" s="634"/>
      <c r="C303" s="634"/>
      <c r="D303" s="634"/>
      <c r="E303" s="634"/>
      <c r="F303" s="634"/>
      <c r="G303" s="634"/>
      <c r="H303" s="634"/>
      <c r="I303" s="634"/>
      <c r="J303" s="634"/>
      <c r="K303" s="634"/>
      <c r="L303" s="634"/>
      <c r="M303" s="602"/>
      <c r="N303" s="602"/>
      <c r="O303" s="602"/>
      <c r="P303" s="602"/>
      <c r="Q303" s="602"/>
      <c r="R303" s="602"/>
    </row>
    <row r="304" spans="1:18" ht="12" customHeight="1">
      <c r="A304" s="633"/>
      <c r="B304" s="636" t="s">
        <v>274</v>
      </c>
      <c r="C304" s="637">
        <v>14858445</v>
      </c>
      <c r="D304" s="637">
        <v>13843795</v>
      </c>
      <c r="E304" s="637">
        <v>13217410</v>
      </c>
      <c r="F304" s="637">
        <v>11771660</v>
      </c>
      <c r="G304" s="637">
        <v>8694921</v>
      </c>
      <c r="H304" s="637">
        <v>10252064</v>
      </c>
      <c r="I304" s="637">
        <v>10173713</v>
      </c>
      <c r="J304" s="637">
        <v>8717287</v>
      </c>
      <c r="K304" s="637">
        <v>7656058</v>
      </c>
      <c r="L304" s="637">
        <v>6157058</v>
      </c>
      <c r="M304" s="602"/>
      <c r="N304" s="602"/>
      <c r="O304" s="602"/>
      <c r="P304" s="602"/>
      <c r="Q304" s="602"/>
      <c r="R304" s="602"/>
    </row>
    <row r="305" spans="1:18" ht="12" customHeight="1">
      <c r="A305" s="633"/>
      <c r="B305" s="636" t="s">
        <v>275</v>
      </c>
      <c r="C305" s="637">
        <v>7659153</v>
      </c>
      <c r="D305" s="637">
        <v>6960697</v>
      </c>
      <c r="E305" s="637">
        <v>7792575</v>
      </c>
      <c r="F305" s="637">
        <v>6273959</v>
      </c>
      <c r="G305" s="637">
        <v>4922052</v>
      </c>
      <c r="H305" s="637">
        <v>5324267</v>
      </c>
      <c r="I305" s="637">
        <v>5722413</v>
      </c>
      <c r="J305" s="637">
        <v>4985536</v>
      </c>
      <c r="K305" s="637">
        <v>4326383</v>
      </c>
      <c r="L305" s="637">
        <v>3722195</v>
      </c>
      <c r="M305" s="602"/>
      <c r="N305" s="602"/>
      <c r="O305" s="602"/>
      <c r="P305" s="602"/>
      <c r="Q305" s="602"/>
      <c r="R305" s="602"/>
    </row>
    <row r="306" spans="1:18" ht="12" customHeight="1">
      <c r="A306" s="633"/>
      <c r="B306" s="636" t="s">
        <v>276</v>
      </c>
      <c r="C306" s="637">
        <v>3207680</v>
      </c>
      <c r="D306" s="637">
        <v>3194159</v>
      </c>
      <c r="E306" s="637">
        <v>2871646</v>
      </c>
      <c r="F306" s="637">
        <v>2473024</v>
      </c>
      <c r="G306" s="637">
        <v>2242963</v>
      </c>
      <c r="H306" s="637">
        <v>2733445</v>
      </c>
      <c r="I306" s="637">
        <v>2863551</v>
      </c>
      <c r="J306" s="637">
        <v>2558191</v>
      </c>
      <c r="K306" s="637">
        <v>2328619</v>
      </c>
      <c r="L306" s="637">
        <v>1770643</v>
      </c>
      <c r="M306" s="602"/>
      <c r="N306" s="602"/>
      <c r="O306" s="602"/>
      <c r="P306" s="602"/>
      <c r="Q306" s="602"/>
      <c r="R306" s="602"/>
    </row>
    <row r="307" spans="1:18" ht="12" customHeight="1">
      <c r="A307" s="633"/>
      <c r="B307" s="636" t="s">
        <v>277</v>
      </c>
      <c r="C307" s="637">
        <v>952779</v>
      </c>
      <c r="D307" s="637">
        <v>873725</v>
      </c>
      <c r="E307" s="637">
        <v>740801</v>
      </c>
      <c r="F307" s="637">
        <v>562664</v>
      </c>
      <c r="G307" s="637">
        <v>357317</v>
      </c>
      <c r="H307" s="637">
        <v>508533</v>
      </c>
      <c r="I307" s="637">
        <v>431673</v>
      </c>
      <c r="J307" s="637">
        <v>230938</v>
      </c>
      <c r="K307" s="637">
        <v>173591</v>
      </c>
      <c r="L307" s="637">
        <v>109062</v>
      </c>
      <c r="M307" s="602"/>
      <c r="N307" s="602"/>
      <c r="O307" s="602"/>
      <c r="P307" s="602"/>
      <c r="Q307" s="602"/>
      <c r="R307" s="602"/>
    </row>
    <row r="308" spans="1:18" ht="12" customHeight="1">
      <c r="A308" s="633"/>
      <c r="B308" s="636" t="s">
        <v>278</v>
      </c>
      <c r="C308" s="637">
        <v>2694037</v>
      </c>
      <c r="D308" s="637">
        <v>2452118</v>
      </c>
      <c r="E308" s="637">
        <v>2183699</v>
      </c>
      <c r="F308" s="637">
        <v>2128151</v>
      </c>
      <c r="G308" s="637">
        <v>1452701</v>
      </c>
      <c r="H308" s="637">
        <v>1556521</v>
      </c>
      <c r="I308" s="637">
        <v>1260977</v>
      </c>
      <c r="J308" s="637">
        <v>916137</v>
      </c>
      <c r="K308" s="637">
        <v>770178</v>
      </c>
      <c r="L308" s="637">
        <v>562127</v>
      </c>
      <c r="M308" s="602"/>
      <c r="N308" s="602"/>
      <c r="O308" s="602"/>
      <c r="P308" s="602"/>
      <c r="Q308" s="602"/>
      <c r="R308" s="602"/>
    </row>
    <row r="309" spans="1:18" ht="12" customHeight="1">
      <c r="A309" s="633"/>
      <c r="B309" s="636" t="s">
        <v>279</v>
      </c>
      <c r="C309" s="637">
        <v>1961494</v>
      </c>
      <c r="D309" s="637">
        <v>1792751</v>
      </c>
      <c r="E309" s="637">
        <v>1610094</v>
      </c>
      <c r="F309" s="637">
        <v>1627397</v>
      </c>
      <c r="G309" s="637">
        <v>1080466</v>
      </c>
      <c r="H309" s="637">
        <v>1134167</v>
      </c>
      <c r="I309" s="637">
        <v>926065</v>
      </c>
      <c r="J309" s="637">
        <v>664062</v>
      </c>
      <c r="K309" s="637">
        <v>581467</v>
      </c>
      <c r="L309" s="637">
        <v>403452</v>
      </c>
      <c r="M309" s="602"/>
      <c r="N309" s="602"/>
      <c r="O309" s="602"/>
      <c r="P309" s="602"/>
      <c r="Q309" s="602"/>
      <c r="R309" s="602"/>
    </row>
    <row r="310" spans="1:18" ht="12" customHeight="1">
      <c r="A310" s="633"/>
      <c r="B310" s="636" t="s">
        <v>280</v>
      </c>
      <c r="C310" s="637">
        <v>569712</v>
      </c>
      <c r="D310" s="637">
        <v>511618</v>
      </c>
      <c r="E310" s="637">
        <v>443742</v>
      </c>
      <c r="F310" s="637">
        <v>381848</v>
      </c>
      <c r="G310" s="637">
        <v>279171</v>
      </c>
      <c r="H310" s="637">
        <v>335048</v>
      </c>
      <c r="I310" s="637">
        <v>269881</v>
      </c>
      <c r="J310" s="637">
        <v>202280</v>
      </c>
      <c r="K310" s="637">
        <v>151741</v>
      </c>
      <c r="L310" s="637">
        <v>124486</v>
      </c>
      <c r="M310" s="602"/>
      <c r="N310" s="602"/>
      <c r="O310" s="602"/>
      <c r="P310" s="602"/>
      <c r="Q310" s="602"/>
      <c r="R310" s="602"/>
    </row>
    <row r="311" spans="1:18" ht="12" customHeight="1">
      <c r="A311" s="633"/>
      <c r="B311" s="636" t="s">
        <v>281</v>
      </c>
      <c r="C311" s="637">
        <v>151556</v>
      </c>
      <c r="D311" s="637">
        <v>140302</v>
      </c>
      <c r="E311" s="637">
        <v>129863</v>
      </c>
      <c r="F311" s="637">
        <v>114738</v>
      </c>
      <c r="G311" s="637">
        <v>93064</v>
      </c>
      <c r="H311" s="637">
        <v>87221</v>
      </c>
      <c r="I311" s="637">
        <v>65031</v>
      </c>
      <c r="J311" s="637">
        <v>49795</v>
      </c>
      <c r="K311" s="637">
        <v>36895</v>
      </c>
      <c r="L311" s="637">
        <v>32266</v>
      </c>
      <c r="M311" s="602"/>
      <c r="N311" s="602"/>
      <c r="O311" s="602"/>
      <c r="P311" s="602"/>
      <c r="Q311" s="602"/>
      <c r="R311" s="602"/>
    </row>
    <row r="312" spans="1:18" ht="12" customHeight="1">
      <c r="A312" s="633"/>
      <c r="B312" s="636" t="s">
        <v>282</v>
      </c>
      <c r="C312" s="637">
        <v>0</v>
      </c>
      <c r="D312" s="637">
        <v>0</v>
      </c>
      <c r="E312" s="637">
        <v>0</v>
      </c>
      <c r="F312" s="637">
        <v>0</v>
      </c>
      <c r="G312" s="637">
        <v>0</v>
      </c>
      <c r="H312" s="637">
        <v>0</v>
      </c>
      <c r="I312" s="637">
        <v>0</v>
      </c>
      <c r="J312" s="637">
        <v>0</v>
      </c>
      <c r="K312" s="637">
        <v>0</v>
      </c>
      <c r="L312" s="637">
        <v>0</v>
      </c>
      <c r="M312" s="602"/>
      <c r="N312" s="602"/>
      <c r="O312" s="602"/>
      <c r="P312" s="602"/>
      <c r="Q312" s="602"/>
      <c r="R312" s="602"/>
    </row>
    <row r="313" spans="1:18" ht="12" customHeight="1">
      <c r="A313" s="633"/>
      <c r="B313" s="636" t="s">
        <v>283</v>
      </c>
      <c r="C313" s="637">
        <v>11275</v>
      </c>
      <c r="D313" s="637">
        <v>7447</v>
      </c>
      <c r="E313" s="637">
        <v>0</v>
      </c>
      <c r="F313" s="637">
        <v>4168</v>
      </c>
      <c r="G313" s="637">
        <v>0</v>
      </c>
      <c r="H313" s="637">
        <v>85</v>
      </c>
      <c r="I313" s="637">
        <v>0</v>
      </c>
      <c r="J313" s="637">
        <v>0</v>
      </c>
      <c r="K313" s="637">
        <v>75</v>
      </c>
      <c r="L313" s="637">
        <v>1923</v>
      </c>
      <c r="M313" s="602"/>
      <c r="N313" s="602"/>
      <c r="O313" s="602"/>
      <c r="P313" s="602"/>
      <c r="Q313" s="602"/>
      <c r="R313" s="602"/>
    </row>
    <row r="314" spans="1:18" ht="23.25" customHeight="1">
      <c r="A314" s="633"/>
      <c r="B314" s="636" t="s">
        <v>284</v>
      </c>
      <c r="C314" s="637">
        <v>162831</v>
      </c>
      <c r="D314" s="637">
        <v>147749</v>
      </c>
      <c r="E314" s="637">
        <v>129863</v>
      </c>
      <c r="F314" s="637">
        <v>118906</v>
      </c>
      <c r="G314" s="637">
        <v>93064</v>
      </c>
      <c r="H314" s="637">
        <v>87306</v>
      </c>
      <c r="I314" s="637">
        <v>65031</v>
      </c>
      <c r="J314" s="637">
        <v>49795</v>
      </c>
      <c r="K314" s="637">
        <v>36970</v>
      </c>
      <c r="L314" s="637">
        <v>34189</v>
      </c>
      <c r="M314" s="602"/>
      <c r="N314" s="602"/>
      <c r="O314" s="602"/>
      <c r="P314" s="602"/>
      <c r="Q314" s="602"/>
      <c r="R314" s="602"/>
    </row>
    <row r="315" spans="1:18" ht="23.25" customHeight="1">
      <c r="A315" s="633"/>
      <c r="B315" s="636" t="s">
        <v>285</v>
      </c>
      <c r="C315" s="637">
        <v>514400</v>
      </c>
      <c r="D315" s="637">
        <v>406658</v>
      </c>
      <c r="E315" s="637">
        <v>352969</v>
      </c>
      <c r="F315" s="637">
        <v>584234</v>
      </c>
      <c r="G315" s="637">
        <v>342652</v>
      </c>
      <c r="H315" s="637">
        <v>393099</v>
      </c>
      <c r="I315" s="637">
        <v>110051</v>
      </c>
      <c r="J315" s="637">
        <v>125428</v>
      </c>
      <c r="K315" s="637">
        <v>92847</v>
      </c>
      <c r="L315" s="637">
        <v>87213</v>
      </c>
      <c r="M315" s="602"/>
      <c r="N315" s="602"/>
      <c r="O315" s="602"/>
      <c r="P315" s="602"/>
      <c r="Q315" s="602"/>
      <c r="R315" s="602"/>
    </row>
    <row r="316" spans="1:18" ht="12" customHeight="1">
      <c r="A316" s="633"/>
      <c r="B316" s="636" t="s">
        <v>286</v>
      </c>
      <c r="C316" s="637">
        <v>337336</v>
      </c>
      <c r="D316" s="637">
        <v>265938</v>
      </c>
      <c r="E316" s="637">
        <v>241483</v>
      </c>
      <c r="F316" s="637">
        <v>68609</v>
      </c>
      <c r="G316" s="637">
        <v>85612</v>
      </c>
      <c r="H316" s="637">
        <v>86562</v>
      </c>
      <c r="I316" s="637">
        <v>65300</v>
      </c>
      <c r="J316" s="637">
        <v>76346</v>
      </c>
      <c r="K316" s="637">
        <v>44549</v>
      </c>
      <c r="L316" s="637">
        <v>42564</v>
      </c>
      <c r="M316" s="602"/>
      <c r="N316" s="602"/>
      <c r="O316" s="602"/>
      <c r="P316" s="602"/>
      <c r="Q316" s="602"/>
      <c r="R316" s="602"/>
    </row>
    <row r="317" spans="1:18" ht="12" customHeight="1">
      <c r="A317" s="633"/>
      <c r="B317" s="636" t="s">
        <v>287</v>
      </c>
      <c r="C317" s="637">
        <v>148380</v>
      </c>
      <c r="D317" s="637">
        <v>104667</v>
      </c>
      <c r="E317" s="637">
        <v>65514</v>
      </c>
      <c r="F317" s="637">
        <v>50982</v>
      </c>
      <c r="G317" s="637">
        <v>44125</v>
      </c>
      <c r="H317" s="637">
        <v>44245</v>
      </c>
      <c r="I317" s="637">
        <v>44751</v>
      </c>
      <c r="J317" s="637">
        <v>49082</v>
      </c>
      <c r="K317" s="637">
        <v>48298</v>
      </c>
      <c r="L317" s="637">
        <v>44649</v>
      </c>
      <c r="M317" s="602"/>
      <c r="N317" s="602"/>
      <c r="O317" s="602"/>
      <c r="P317" s="602"/>
      <c r="Q317" s="602"/>
      <c r="R317" s="602"/>
    </row>
    <row r="318" spans="1:18" ht="12" customHeight="1">
      <c r="A318" s="633"/>
      <c r="B318" s="636" t="s">
        <v>288</v>
      </c>
      <c r="C318" s="637">
        <v>0</v>
      </c>
      <c r="D318" s="637">
        <v>0</v>
      </c>
      <c r="E318" s="637">
        <v>0</v>
      </c>
      <c r="F318" s="637">
        <v>0</v>
      </c>
      <c r="G318" s="637">
        <v>0</v>
      </c>
      <c r="H318" s="637">
        <v>0</v>
      </c>
      <c r="I318" s="637">
        <v>0</v>
      </c>
      <c r="J318" s="637">
        <v>0</v>
      </c>
      <c r="K318" s="637">
        <v>0</v>
      </c>
      <c r="L318" s="637">
        <v>0</v>
      </c>
      <c r="M318" s="602"/>
      <c r="N318" s="602"/>
      <c r="O318" s="602"/>
      <c r="P318" s="602"/>
      <c r="Q318" s="602"/>
      <c r="R318" s="602"/>
    </row>
    <row r="319" spans="1:18" ht="23.25" customHeight="1">
      <c r="A319" s="633"/>
      <c r="B319" s="636" t="s">
        <v>289</v>
      </c>
      <c r="C319" s="637">
        <v>485716</v>
      </c>
      <c r="D319" s="637">
        <v>370605</v>
      </c>
      <c r="E319" s="637">
        <v>306997</v>
      </c>
      <c r="F319" s="637">
        <v>119591</v>
      </c>
      <c r="G319" s="637">
        <v>129737</v>
      </c>
      <c r="H319" s="637">
        <v>130807</v>
      </c>
      <c r="I319" s="637">
        <v>110051</v>
      </c>
      <c r="J319" s="637">
        <v>125428</v>
      </c>
      <c r="K319" s="637">
        <v>92847</v>
      </c>
      <c r="L319" s="637">
        <v>87213</v>
      </c>
      <c r="M319" s="602"/>
      <c r="N319" s="602"/>
      <c r="O319" s="602"/>
      <c r="P319" s="602"/>
      <c r="Q319" s="602"/>
      <c r="R319" s="602"/>
    </row>
    <row r="320" spans="1:18" ht="12" customHeight="1">
      <c r="A320" s="633"/>
      <c r="B320" s="636" t="s">
        <v>290</v>
      </c>
      <c r="C320" s="637">
        <v>28684</v>
      </c>
      <c r="D320" s="637">
        <v>36053</v>
      </c>
      <c r="E320" s="637">
        <v>45972</v>
      </c>
      <c r="F320" s="637">
        <v>464643</v>
      </c>
      <c r="G320" s="637">
        <v>212915</v>
      </c>
      <c r="H320" s="637">
        <v>262292</v>
      </c>
      <c r="I320" s="637">
        <v>0</v>
      </c>
      <c r="J320" s="637">
        <v>0</v>
      </c>
      <c r="K320" s="637">
        <v>0</v>
      </c>
      <c r="L320" s="637">
        <v>0</v>
      </c>
      <c r="M320" s="602"/>
      <c r="N320" s="602"/>
      <c r="O320" s="602"/>
      <c r="P320" s="602"/>
      <c r="Q320" s="602"/>
      <c r="R320" s="602"/>
    </row>
    <row r="321" spans="1:18" ht="23.25" customHeight="1">
      <c r="A321" s="633"/>
      <c r="B321" s="636" t="s">
        <v>291</v>
      </c>
      <c r="C321" s="637">
        <v>-251387</v>
      </c>
      <c r="D321" s="637">
        <v>-70619</v>
      </c>
      <c r="E321" s="637">
        <v>-738763</v>
      </c>
      <c r="F321" s="637">
        <v>-268220</v>
      </c>
      <c r="G321" s="637">
        <v>-640807</v>
      </c>
      <c r="H321" s="637">
        <v>-271680</v>
      </c>
      <c r="I321" s="637">
        <v>-251316</v>
      </c>
      <c r="J321" s="637">
        <v>-150800</v>
      </c>
      <c r="K321" s="637">
        <v>-61187</v>
      </c>
      <c r="L321" s="637">
        <v>-103947</v>
      </c>
      <c r="M321" s="602"/>
      <c r="N321" s="602"/>
      <c r="O321" s="602"/>
      <c r="P321" s="602"/>
      <c r="Q321" s="602"/>
      <c r="R321" s="602"/>
    </row>
    <row r="322" spans="1:18" ht="12" customHeight="1">
      <c r="A322" s="633"/>
      <c r="B322" s="636" t="s">
        <v>292</v>
      </c>
      <c r="C322" s="637">
        <v>0</v>
      </c>
      <c r="D322" s="637">
        <v>0</v>
      </c>
      <c r="E322" s="637">
        <v>0</v>
      </c>
      <c r="F322" s="637">
        <v>0</v>
      </c>
      <c r="G322" s="637">
        <v>0</v>
      </c>
      <c r="H322" s="637">
        <v>0</v>
      </c>
      <c r="I322" s="637">
        <v>0</v>
      </c>
      <c r="J322" s="637">
        <v>0</v>
      </c>
      <c r="K322" s="637">
        <v>0</v>
      </c>
      <c r="L322" s="637">
        <v>0</v>
      </c>
      <c r="M322" s="602"/>
      <c r="N322" s="602"/>
      <c r="O322" s="602"/>
      <c r="P322" s="602"/>
      <c r="Q322" s="602"/>
      <c r="R322" s="602"/>
    </row>
    <row r="323" spans="1:18" ht="12" customHeight="1">
      <c r="A323" s="633"/>
      <c r="B323" s="636" t="s">
        <v>293</v>
      </c>
      <c r="C323" s="637">
        <v>0</v>
      </c>
      <c r="D323" s="637">
        <v>0</v>
      </c>
      <c r="E323" s="637">
        <v>0</v>
      </c>
      <c r="F323" s="637">
        <v>0</v>
      </c>
      <c r="G323" s="637">
        <v>0</v>
      </c>
      <c r="H323" s="637">
        <v>0</v>
      </c>
      <c r="I323" s="637">
        <v>0</v>
      </c>
      <c r="J323" s="637">
        <v>0</v>
      </c>
      <c r="K323" s="637">
        <v>0</v>
      </c>
      <c r="L323" s="637">
        <v>0</v>
      </c>
      <c r="M323" s="602"/>
      <c r="N323" s="602"/>
      <c r="O323" s="602"/>
      <c r="P323" s="602"/>
      <c r="Q323" s="602"/>
      <c r="R323" s="602"/>
    </row>
    <row r="324" spans="1:18" ht="12" customHeight="1">
      <c r="A324" s="633"/>
      <c r="B324" s="636" t="s">
        <v>294</v>
      </c>
      <c r="C324" s="637">
        <v>81783</v>
      </c>
      <c r="D324" s="637">
        <v>27057</v>
      </c>
      <c r="E324" s="637">
        <v>14483</v>
      </c>
      <c r="F324" s="637">
        <v>17848</v>
      </c>
      <c r="G324" s="637">
        <v>18043</v>
      </c>
      <c r="H324" s="637">
        <v>7879</v>
      </c>
      <c r="I324" s="637">
        <v>36364</v>
      </c>
      <c r="J324" s="637">
        <v>51857</v>
      </c>
      <c r="K324" s="637">
        <v>25627</v>
      </c>
      <c r="L324" s="637">
        <v>9765</v>
      </c>
      <c r="M324" s="602"/>
      <c r="N324" s="602"/>
      <c r="O324" s="602"/>
      <c r="P324" s="602"/>
      <c r="Q324" s="602"/>
      <c r="R324" s="602"/>
    </row>
    <row r="325" spans="1:18" ht="12" customHeight="1">
      <c r="A325" s="633"/>
      <c r="B325" s="634"/>
      <c r="C325" s="634"/>
      <c r="D325" s="634"/>
      <c r="E325" s="634"/>
      <c r="F325" s="634"/>
      <c r="G325" s="634"/>
      <c r="H325" s="634"/>
      <c r="I325" s="634"/>
      <c r="J325" s="634"/>
      <c r="K325" s="634"/>
      <c r="L325" s="634"/>
      <c r="M325" s="602"/>
      <c r="N325" s="602"/>
      <c r="O325" s="602"/>
      <c r="P325" s="602"/>
      <c r="Q325" s="602"/>
      <c r="R325" s="602"/>
    </row>
    <row r="326" spans="1:18" ht="12" customHeight="1">
      <c r="A326" s="633"/>
      <c r="B326" s="636" t="s">
        <v>295</v>
      </c>
      <c r="C326" s="637">
        <v>547976</v>
      </c>
      <c r="D326" s="637">
        <v>1106409</v>
      </c>
      <c r="E326" s="637">
        <v>1255732</v>
      </c>
      <c r="F326" s="637">
        <v>889046</v>
      </c>
      <c r="G326" s="637">
        <v>546866</v>
      </c>
      <c r="H326" s="637">
        <v>308655</v>
      </c>
      <c r="I326" s="637">
        <v>485543</v>
      </c>
      <c r="J326" s="637">
        <v>545212</v>
      </c>
      <c r="K326" s="637">
        <v>439266</v>
      </c>
      <c r="L326" s="637">
        <v>357895</v>
      </c>
      <c r="M326" s="602"/>
      <c r="N326" s="602"/>
      <c r="O326" s="602"/>
      <c r="P326" s="602"/>
      <c r="Q326" s="602"/>
      <c r="R326" s="602"/>
    </row>
    <row r="327" spans="1:18" ht="12" customHeight="1">
      <c r="A327" s="633"/>
      <c r="B327" s="636" t="s">
        <v>296</v>
      </c>
      <c r="C327" s="637">
        <v>3756413</v>
      </c>
      <c r="D327" s="637">
        <v>3965185</v>
      </c>
      <c r="E327" s="637">
        <v>3792400</v>
      </c>
      <c r="F327" s="637">
        <v>3601431</v>
      </c>
      <c r="G327" s="637">
        <v>2342219</v>
      </c>
      <c r="H327" s="637">
        <v>2258275</v>
      </c>
      <c r="I327" s="637">
        <v>1856571</v>
      </c>
      <c r="J327" s="637">
        <v>1586777</v>
      </c>
      <c r="K327" s="637">
        <v>1302291</v>
      </c>
      <c r="L327" s="637">
        <v>1007235</v>
      </c>
      <c r="M327" s="602"/>
      <c r="N327" s="602"/>
      <c r="O327" s="602"/>
      <c r="P327" s="602"/>
      <c r="Q327" s="602"/>
      <c r="R327" s="602"/>
    </row>
    <row r="328" spans="1:18" ht="12" customHeight="1">
      <c r="A328" s="633"/>
      <c r="B328" s="634"/>
      <c r="C328" s="634"/>
      <c r="D328" s="634"/>
      <c r="E328" s="634"/>
      <c r="F328" s="634"/>
      <c r="G328" s="634"/>
      <c r="H328" s="634"/>
      <c r="I328" s="634"/>
      <c r="J328" s="634"/>
      <c r="K328" s="634"/>
      <c r="L328" s="634"/>
      <c r="M328" s="602"/>
      <c r="N328" s="602"/>
      <c r="O328" s="602"/>
      <c r="P328" s="602"/>
      <c r="Q328" s="602"/>
      <c r="R328" s="602"/>
    </row>
    <row r="329" spans="1:18" ht="12" customHeight="1">
      <c r="A329" s="633"/>
      <c r="B329" s="636" t="s">
        <v>297</v>
      </c>
      <c r="C329" s="637">
        <v>-319435</v>
      </c>
      <c r="D329" s="637">
        <v>-308060</v>
      </c>
      <c r="E329" s="637">
        <v>-239731</v>
      </c>
      <c r="F329" s="637">
        <v>-173465</v>
      </c>
      <c r="G329" s="637">
        <v>-166693</v>
      </c>
      <c r="H329" s="637">
        <v>-191344</v>
      </c>
      <c r="I329" s="637">
        <v>-156701</v>
      </c>
      <c r="J329" s="637">
        <v>-170269</v>
      </c>
      <c r="K329" s="637">
        <v>-163046</v>
      </c>
      <c r="L329" s="637">
        <v>-161482</v>
      </c>
      <c r="M329" s="602"/>
      <c r="N329" s="602"/>
      <c r="O329" s="602"/>
      <c r="P329" s="602"/>
      <c r="Q329" s="602"/>
      <c r="R329" s="602"/>
    </row>
    <row r="330" spans="1:18" ht="12" customHeight="1">
      <c r="A330" s="633"/>
      <c r="B330" s="636" t="s">
        <v>298</v>
      </c>
      <c r="C330" s="637">
        <v>0</v>
      </c>
      <c r="D330" s="637">
        <v>0</v>
      </c>
      <c r="E330" s="637">
        <v>0</v>
      </c>
      <c r="F330" s="637">
        <v>0</v>
      </c>
      <c r="G330" s="637">
        <v>0</v>
      </c>
      <c r="H330" s="637">
        <v>0</v>
      </c>
      <c r="I330" s="637">
        <v>0</v>
      </c>
      <c r="J330" s="637">
        <v>0</v>
      </c>
      <c r="K330" s="637">
        <v>0</v>
      </c>
      <c r="L330" s="637">
        <v>0</v>
      </c>
      <c r="M330" s="602"/>
      <c r="N330" s="602"/>
      <c r="O330" s="602"/>
      <c r="P330" s="602"/>
      <c r="Q330" s="602"/>
      <c r="R330" s="602"/>
    </row>
    <row r="331" spans="1:18" ht="23.25" customHeight="1">
      <c r="A331" s="633"/>
      <c r="B331" s="636" t="s">
        <v>299</v>
      </c>
      <c r="C331" s="635" t="s">
        <v>104</v>
      </c>
      <c r="D331" s="635" t="s">
        <v>104</v>
      </c>
      <c r="E331" s="635" t="s">
        <v>104</v>
      </c>
      <c r="F331" s="635" t="s">
        <v>104</v>
      </c>
      <c r="G331" s="635" t="s">
        <v>104</v>
      </c>
      <c r="H331" s="635" t="s">
        <v>104</v>
      </c>
      <c r="I331" s="635" t="s">
        <v>104</v>
      </c>
      <c r="J331" s="635" t="s">
        <v>104</v>
      </c>
      <c r="K331" s="635" t="s">
        <v>104</v>
      </c>
      <c r="L331" s="635" t="s">
        <v>104</v>
      </c>
      <c r="M331" s="602"/>
      <c r="N331" s="602"/>
      <c r="O331" s="602"/>
      <c r="P331" s="602"/>
      <c r="Q331" s="602"/>
      <c r="R331" s="602"/>
    </row>
    <row r="332" spans="1:18" ht="12" customHeight="1">
      <c r="A332" s="633"/>
      <c r="B332" s="636" t="s">
        <v>300</v>
      </c>
      <c r="C332" s="637">
        <v>0</v>
      </c>
      <c r="D332" s="637">
        <v>0</v>
      </c>
      <c r="E332" s="637">
        <v>0</v>
      </c>
      <c r="F332" s="637">
        <v>0</v>
      </c>
      <c r="G332" s="637">
        <v>0</v>
      </c>
      <c r="H332" s="637">
        <v>0</v>
      </c>
      <c r="I332" s="637">
        <v>0</v>
      </c>
      <c r="J332" s="637">
        <v>0</v>
      </c>
      <c r="K332" s="637">
        <v>0</v>
      </c>
      <c r="L332" s="635" t="s">
        <v>104</v>
      </c>
      <c r="M332" s="602"/>
      <c r="N332" s="602"/>
      <c r="O332" s="602"/>
      <c r="P332" s="602"/>
      <c r="Q332" s="602"/>
      <c r="R332" s="602"/>
    </row>
    <row r="333" spans="1:18" ht="23.25" customHeight="1">
      <c r="A333" s="633"/>
      <c r="B333" s="636" t="s">
        <v>301</v>
      </c>
      <c r="C333" s="637">
        <v>0</v>
      </c>
      <c r="D333" s="637">
        <v>0</v>
      </c>
      <c r="E333" s="637">
        <v>0</v>
      </c>
      <c r="F333" s="637">
        <v>0</v>
      </c>
      <c r="G333" s="637">
        <v>0</v>
      </c>
      <c r="H333" s="637">
        <v>0</v>
      </c>
      <c r="I333" s="637">
        <v>0</v>
      </c>
      <c r="J333" s="637">
        <v>0</v>
      </c>
      <c r="K333" s="637">
        <v>0</v>
      </c>
      <c r="L333" s="635" t="s">
        <v>104</v>
      </c>
      <c r="M333" s="602"/>
      <c r="N333" s="602"/>
      <c r="O333" s="602"/>
      <c r="P333" s="602"/>
      <c r="Q333" s="602"/>
      <c r="R333" s="602"/>
    </row>
    <row r="334" spans="1:18" ht="12" customHeight="1">
      <c r="A334" s="633"/>
      <c r="B334" s="636" t="s">
        <v>302</v>
      </c>
      <c r="C334" s="637">
        <v>62566</v>
      </c>
      <c r="D334" s="637">
        <v>74265</v>
      </c>
      <c r="E334" s="637">
        <v>333</v>
      </c>
      <c r="F334" s="637">
        <v>258</v>
      </c>
      <c r="G334" s="637">
        <v>291</v>
      </c>
      <c r="H334" s="637">
        <v>584</v>
      </c>
      <c r="I334" s="637">
        <v>3724</v>
      </c>
      <c r="J334" s="637">
        <v>500</v>
      </c>
      <c r="K334" s="637">
        <v>115</v>
      </c>
      <c r="L334" s="637">
        <v>266</v>
      </c>
      <c r="M334" s="602"/>
      <c r="N334" s="602"/>
      <c r="O334" s="602"/>
      <c r="P334" s="602"/>
      <c r="Q334" s="602"/>
      <c r="R334" s="602"/>
    </row>
    <row r="335" spans="1:18" ht="12" customHeight="1">
      <c r="A335" s="633"/>
      <c r="B335" s="636" t="s">
        <v>303</v>
      </c>
      <c r="C335" s="637">
        <v>0</v>
      </c>
      <c r="D335" s="637">
        <v>0</v>
      </c>
      <c r="E335" s="637">
        <v>0</v>
      </c>
      <c r="F335" s="637">
        <v>0</v>
      </c>
      <c r="G335" s="637">
        <v>0</v>
      </c>
      <c r="H335" s="637">
        <v>0</v>
      </c>
      <c r="I335" s="637">
        <v>0</v>
      </c>
      <c r="J335" s="637">
        <v>0</v>
      </c>
      <c r="K335" s="637">
        <v>0</v>
      </c>
      <c r="L335" s="637">
        <v>0</v>
      </c>
      <c r="M335" s="602"/>
      <c r="N335" s="602"/>
      <c r="O335" s="602"/>
      <c r="P335" s="602"/>
      <c r="Q335" s="602"/>
      <c r="R335" s="602"/>
    </row>
    <row r="336" spans="1:18" ht="23.25" customHeight="1">
      <c r="A336" s="633"/>
      <c r="B336" s="636" t="s">
        <v>304</v>
      </c>
      <c r="C336" s="637">
        <v>0</v>
      </c>
      <c r="D336" s="635" t="s">
        <v>104</v>
      </c>
      <c r="E336" s="635" t="s">
        <v>104</v>
      </c>
      <c r="F336" s="635" t="s">
        <v>104</v>
      </c>
      <c r="G336" s="635" t="s">
        <v>104</v>
      </c>
      <c r="H336" s="635" t="s">
        <v>104</v>
      </c>
      <c r="I336" s="635" t="s">
        <v>104</v>
      </c>
      <c r="J336" s="635" t="s">
        <v>104</v>
      </c>
      <c r="K336" s="635" t="s">
        <v>104</v>
      </c>
      <c r="L336" s="635" t="s">
        <v>104</v>
      </c>
      <c r="M336" s="602"/>
      <c r="N336" s="602"/>
      <c r="O336" s="602"/>
      <c r="P336" s="602"/>
      <c r="Q336" s="602"/>
      <c r="R336" s="602"/>
    </row>
    <row r="337" spans="1:18" ht="23.25" customHeight="1">
      <c r="A337" s="633"/>
      <c r="B337" s="636" t="s">
        <v>305</v>
      </c>
      <c r="C337" s="637">
        <v>0</v>
      </c>
      <c r="D337" s="637">
        <v>0</v>
      </c>
      <c r="E337" s="637">
        <v>0</v>
      </c>
      <c r="F337" s="637">
        <v>0</v>
      </c>
      <c r="G337" s="637">
        <v>0</v>
      </c>
      <c r="H337" s="637">
        <v>0</v>
      </c>
      <c r="I337" s="637">
        <v>0</v>
      </c>
      <c r="J337" s="637">
        <v>0</v>
      </c>
      <c r="K337" s="637">
        <v>0</v>
      </c>
      <c r="L337" s="635" t="s">
        <v>104</v>
      </c>
      <c r="M337" s="602"/>
      <c r="N337" s="602"/>
      <c r="O337" s="602"/>
      <c r="P337" s="602"/>
      <c r="Q337" s="602"/>
      <c r="R337" s="602"/>
    </row>
    <row r="338" spans="1:18" ht="12" customHeight="1">
      <c r="A338" s="633"/>
      <c r="B338" s="636" t="s">
        <v>306</v>
      </c>
      <c r="C338" s="637">
        <v>0</v>
      </c>
      <c r="D338" s="637">
        <v>0</v>
      </c>
      <c r="E338" s="637">
        <v>0</v>
      </c>
      <c r="F338" s="637">
        <v>0</v>
      </c>
      <c r="G338" s="637">
        <v>0</v>
      </c>
      <c r="H338" s="637">
        <v>0</v>
      </c>
      <c r="I338" s="637">
        <v>0</v>
      </c>
      <c r="J338" s="637">
        <v>0</v>
      </c>
      <c r="K338" s="637">
        <v>0</v>
      </c>
      <c r="L338" s="637">
        <v>0</v>
      </c>
      <c r="M338" s="602"/>
      <c r="N338" s="602"/>
      <c r="O338" s="602"/>
      <c r="P338" s="602"/>
      <c r="Q338" s="602"/>
      <c r="R338" s="602"/>
    </row>
    <row r="339" spans="1:18" ht="12" customHeight="1">
      <c r="A339" s="633"/>
      <c r="B339" s="636" t="s">
        <v>307</v>
      </c>
      <c r="C339" s="637">
        <v>0</v>
      </c>
      <c r="D339" s="637">
        <v>0</v>
      </c>
      <c r="E339" s="637">
        <v>0</v>
      </c>
      <c r="F339" s="637">
        <v>0</v>
      </c>
      <c r="G339" s="637">
        <v>0</v>
      </c>
      <c r="H339" s="637">
        <v>0</v>
      </c>
      <c r="I339" s="637">
        <v>0</v>
      </c>
      <c r="J339" s="637">
        <v>0</v>
      </c>
      <c r="K339" s="637">
        <v>0</v>
      </c>
      <c r="L339" s="637">
        <v>0</v>
      </c>
      <c r="M339" s="602"/>
      <c r="N339" s="602"/>
      <c r="O339" s="602"/>
      <c r="P339" s="602"/>
      <c r="Q339" s="602"/>
      <c r="R339" s="602"/>
    </row>
    <row r="340" spans="1:18" ht="12" customHeight="1">
      <c r="A340" s="633"/>
      <c r="B340" s="636" t="s">
        <v>308</v>
      </c>
      <c r="C340" s="637">
        <v>0</v>
      </c>
      <c r="D340" s="637">
        <v>0</v>
      </c>
      <c r="E340" s="637">
        <v>0</v>
      </c>
      <c r="F340" s="637">
        <v>0</v>
      </c>
      <c r="G340" s="637">
        <v>0</v>
      </c>
      <c r="H340" s="637">
        <v>0</v>
      </c>
      <c r="I340" s="637">
        <v>0</v>
      </c>
      <c r="J340" s="637">
        <v>0</v>
      </c>
      <c r="K340" s="637">
        <v>0</v>
      </c>
      <c r="L340" s="637">
        <v>0</v>
      </c>
      <c r="M340" s="602"/>
      <c r="N340" s="602"/>
      <c r="O340" s="602"/>
      <c r="P340" s="602"/>
      <c r="Q340" s="602"/>
      <c r="R340" s="602"/>
    </row>
    <row r="341" spans="1:18" ht="12" customHeight="1">
      <c r="A341" s="633"/>
      <c r="B341" s="636" t="s">
        <v>309</v>
      </c>
      <c r="C341" s="637">
        <v>62566</v>
      </c>
      <c r="D341" s="637">
        <v>74265</v>
      </c>
      <c r="E341" s="637">
        <v>333</v>
      </c>
      <c r="F341" s="637">
        <v>258</v>
      </c>
      <c r="G341" s="637">
        <v>291</v>
      </c>
      <c r="H341" s="637">
        <v>584</v>
      </c>
      <c r="I341" s="637">
        <v>3724</v>
      </c>
      <c r="J341" s="637">
        <v>500</v>
      </c>
      <c r="K341" s="637">
        <v>115</v>
      </c>
      <c r="L341" s="637">
        <v>266</v>
      </c>
      <c r="M341" s="602"/>
      <c r="N341" s="602"/>
      <c r="O341" s="602"/>
      <c r="P341" s="602"/>
      <c r="Q341" s="602"/>
      <c r="R341" s="602"/>
    </row>
    <row r="342" spans="1:18" ht="23.25" customHeight="1">
      <c r="A342" s="633"/>
      <c r="B342" s="636" t="s">
        <v>304</v>
      </c>
      <c r="C342" s="637">
        <v>0</v>
      </c>
      <c r="D342" s="637">
        <v>0</v>
      </c>
      <c r="E342" s="637">
        <v>0</v>
      </c>
      <c r="F342" s="637">
        <v>0</v>
      </c>
      <c r="G342" s="637">
        <v>0</v>
      </c>
      <c r="H342" s="635" t="s">
        <v>104</v>
      </c>
      <c r="I342" s="635" t="s">
        <v>104</v>
      </c>
      <c r="J342" s="635" t="s">
        <v>104</v>
      </c>
      <c r="K342" s="635" t="s">
        <v>104</v>
      </c>
      <c r="L342" s="635" t="s">
        <v>104</v>
      </c>
      <c r="M342" s="602"/>
      <c r="N342" s="602"/>
      <c r="O342" s="602"/>
      <c r="P342" s="602"/>
      <c r="Q342" s="602"/>
      <c r="R342" s="602"/>
    </row>
    <row r="343" spans="1:18" ht="23.25" customHeight="1">
      <c r="A343" s="633"/>
      <c r="B343" s="636" t="s">
        <v>305</v>
      </c>
      <c r="C343" s="637">
        <v>0</v>
      </c>
      <c r="D343" s="637">
        <v>0</v>
      </c>
      <c r="E343" s="637">
        <v>0</v>
      </c>
      <c r="F343" s="637">
        <v>0</v>
      </c>
      <c r="G343" s="637">
        <v>0</v>
      </c>
      <c r="H343" s="637">
        <v>0</v>
      </c>
      <c r="I343" s="637">
        <v>0</v>
      </c>
      <c r="J343" s="637">
        <v>0</v>
      </c>
      <c r="K343" s="637">
        <v>0</v>
      </c>
      <c r="L343" s="635" t="s">
        <v>104</v>
      </c>
      <c r="M343" s="602"/>
      <c r="N343" s="602"/>
      <c r="O343" s="602"/>
      <c r="P343" s="602"/>
      <c r="Q343" s="602"/>
      <c r="R343" s="602"/>
    </row>
    <row r="344" spans="1:18" ht="12" customHeight="1">
      <c r="A344" s="633"/>
      <c r="B344" s="636" t="s">
        <v>310</v>
      </c>
      <c r="C344" s="637">
        <v>381557</v>
      </c>
      <c r="D344" s="637">
        <v>382279</v>
      </c>
      <c r="E344" s="637">
        <v>240050</v>
      </c>
      <c r="F344" s="637">
        <v>173690</v>
      </c>
      <c r="G344" s="637">
        <v>166922</v>
      </c>
      <c r="H344" s="637">
        <v>191809</v>
      </c>
      <c r="I344" s="637">
        <v>160310</v>
      </c>
      <c r="J344" s="637">
        <v>170732</v>
      </c>
      <c r="K344" s="637">
        <v>163161</v>
      </c>
      <c r="L344" s="637">
        <v>161748</v>
      </c>
      <c r="M344" s="602"/>
      <c r="N344" s="602"/>
      <c r="O344" s="602"/>
      <c r="P344" s="602"/>
      <c r="Q344" s="602"/>
      <c r="R344" s="602"/>
    </row>
    <row r="345" spans="1:18" ht="23.25" customHeight="1">
      <c r="A345" s="633"/>
      <c r="B345" s="636" t="s">
        <v>311</v>
      </c>
      <c r="C345" s="637">
        <v>0</v>
      </c>
      <c r="D345" s="637">
        <v>0</v>
      </c>
      <c r="E345" s="637">
        <v>0</v>
      </c>
      <c r="F345" s="637">
        <v>0</v>
      </c>
      <c r="G345" s="637">
        <v>0</v>
      </c>
      <c r="H345" s="635" t="s">
        <v>104</v>
      </c>
      <c r="I345" s="635" t="s">
        <v>104</v>
      </c>
      <c r="J345" s="635" t="s">
        <v>104</v>
      </c>
      <c r="K345" s="635" t="s">
        <v>104</v>
      </c>
      <c r="L345" s="635" t="s">
        <v>104</v>
      </c>
      <c r="M345" s="602"/>
      <c r="N345" s="602"/>
      <c r="O345" s="602"/>
      <c r="P345" s="602"/>
      <c r="Q345" s="602"/>
      <c r="R345" s="602"/>
    </row>
    <row r="346" spans="1:18" ht="23.25" customHeight="1">
      <c r="A346" s="633"/>
      <c r="B346" s="636" t="s">
        <v>301</v>
      </c>
      <c r="C346" s="637">
        <v>0</v>
      </c>
      <c r="D346" s="637">
        <v>0</v>
      </c>
      <c r="E346" s="637">
        <v>0</v>
      </c>
      <c r="F346" s="637">
        <v>0</v>
      </c>
      <c r="G346" s="637">
        <v>0</v>
      </c>
      <c r="H346" s="637">
        <v>0</v>
      </c>
      <c r="I346" s="637">
        <v>0</v>
      </c>
      <c r="J346" s="637">
        <v>0</v>
      </c>
      <c r="K346" s="637">
        <v>0</v>
      </c>
      <c r="L346" s="635" t="s">
        <v>104</v>
      </c>
      <c r="M346" s="602"/>
      <c r="N346" s="602"/>
      <c r="O346" s="602"/>
      <c r="P346" s="602"/>
      <c r="Q346" s="602"/>
      <c r="R346" s="602"/>
    </row>
    <row r="347" spans="1:18" ht="12" customHeight="1">
      <c r="A347" s="633"/>
      <c r="B347" s="636" t="s">
        <v>312</v>
      </c>
      <c r="C347" s="637">
        <v>-444</v>
      </c>
      <c r="D347" s="637">
        <v>-46</v>
      </c>
      <c r="E347" s="637">
        <v>-14</v>
      </c>
      <c r="F347" s="637">
        <v>-33</v>
      </c>
      <c r="G347" s="637">
        <v>-62</v>
      </c>
      <c r="H347" s="637">
        <v>-119</v>
      </c>
      <c r="I347" s="637">
        <v>-115</v>
      </c>
      <c r="J347" s="637">
        <v>-37</v>
      </c>
      <c r="K347" s="637">
        <v>0</v>
      </c>
      <c r="L347" s="637">
        <v>0</v>
      </c>
      <c r="M347" s="602"/>
      <c r="N347" s="602"/>
      <c r="O347" s="602"/>
      <c r="P347" s="602"/>
      <c r="Q347" s="602"/>
      <c r="R347" s="602"/>
    </row>
    <row r="348" spans="1:18" ht="12" customHeight="1">
      <c r="A348" s="633"/>
      <c r="B348" s="634"/>
      <c r="C348" s="634"/>
      <c r="D348" s="634"/>
      <c r="E348" s="634"/>
      <c r="F348" s="634"/>
      <c r="G348" s="634"/>
      <c r="H348" s="634"/>
      <c r="I348" s="634"/>
      <c r="J348" s="634"/>
      <c r="K348" s="634"/>
      <c r="L348" s="634"/>
      <c r="M348" s="602"/>
      <c r="N348" s="602"/>
      <c r="O348" s="602"/>
      <c r="P348" s="602"/>
      <c r="Q348" s="602"/>
      <c r="R348" s="602"/>
    </row>
    <row r="349" spans="1:18" ht="12" customHeight="1">
      <c r="A349" s="633"/>
      <c r="B349" s="636" t="s">
        <v>313</v>
      </c>
      <c r="C349" s="637">
        <v>0</v>
      </c>
      <c r="D349" s="637">
        <v>0</v>
      </c>
      <c r="E349" s="637">
        <v>0</v>
      </c>
      <c r="F349" s="637">
        <v>0</v>
      </c>
      <c r="G349" s="637">
        <v>0</v>
      </c>
      <c r="H349" s="637">
        <v>-89095</v>
      </c>
      <c r="I349" s="637">
        <v>0</v>
      </c>
      <c r="J349" s="637">
        <v>0</v>
      </c>
      <c r="K349" s="637">
        <v>0</v>
      </c>
      <c r="L349" s="637">
        <v>0</v>
      </c>
      <c r="M349" s="602"/>
      <c r="N349" s="602"/>
      <c r="O349" s="602"/>
      <c r="P349" s="602"/>
      <c r="Q349" s="602"/>
      <c r="R349" s="602"/>
    </row>
    <row r="350" spans="1:18" ht="12" customHeight="1">
      <c r="A350" s="633"/>
      <c r="B350" s="636" t="s">
        <v>314</v>
      </c>
      <c r="C350" s="637">
        <v>0</v>
      </c>
      <c r="D350" s="637">
        <v>0</v>
      </c>
      <c r="E350" s="637">
        <v>0</v>
      </c>
      <c r="F350" s="637">
        <v>0</v>
      </c>
      <c r="G350" s="637">
        <v>0</v>
      </c>
      <c r="H350" s="637">
        <v>0</v>
      </c>
      <c r="I350" s="637">
        <v>0</v>
      </c>
      <c r="J350" s="637">
        <v>0</v>
      </c>
      <c r="K350" s="637">
        <v>0</v>
      </c>
      <c r="L350" s="637">
        <v>0</v>
      </c>
      <c r="M350" s="602"/>
      <c r="N350" s="602"/>
      <c r="O350" s="602"/>
      <c r="P350" s="602"/>
      <c r="Q350" s="602"/>
      <c r="R350" s="602"/>
    </row>
    <row r="351" spans="1:18" ht="12" customHeight="1">
      <c r="A351" s="633"/>
      <c r="B351" s="636" t="s">
        <v>315</v>
      </c>
      <c r="C351" s="637">
        <v>0</v>
      </c>
      <c r="D351" s="637">
        <v>0</v>
      </c>
      <c r="E351" s="637">
        <v>0</v>
      </c>
      <c r="F351" s="637">
        <v>0</v>
      </c>
      <c r="G351" s="637">
        <v>0</v>
      </c>
      <c r="H351" s="637">
        <v>0</v>
      </c>
      <c r="I351" s="637">
        <v>0</v>
      </c>
      <c r="J351" s="637">
        <v>0</v>
      </c>
      <c r="K351" s="637">
        <v>0</v>
      </c>
      <c r="L351" s="637">
        <v>0</v>
      </c>
      <c r="M351" s="602"/>
      <c r="N351" s="602"/>
      <c r="O351" s="602"/>
      <c r="P351" s="602"/>
      <c r="Q351" s="602"/>
      <c r="R351" s="602"/>
    </row>
    <row r="352" spans="1:18" ht="12" customHeight="1">
      <c r="A352" s="633"/>
      <c r="B352" s="636" t="s">
        <v>316</v>
      </c>
      <c r="C352" s="637">
        <v>0</v>
      </c>
      <c r="D352" s="637">
        <v>0</v>
      </c>
      <c r="E352" s="637">
        <v>0</v>
      </c>
      <c r="F352" s="637">
        <v>0</v>
      </c>
      <c r="G352" s="637">
        <v>0</v>
      </c>
      <c r="H352" s="637">
        <v>0</v>
      </c>
      <c r="I352" s="637">
        <v>0</v>
      </c>
      <c r="J352" s="637">
        <v>0</v>
      </c>
      <c r="K352" s="637">
        <v>0</v>
      </c>
      <c r="L352" s="637">
        <v>0</v>
      </c>
      <c r="M352" s="602"/>
      <c r="N352" s="602"/>
      <c r="O352" s="602"/>
      <c r="P352" s="602"/>
      <c r="Q352" s="602"/>
      <c r="R352" s="602"/>
    </row>
    <row r="353" spans="1:18" ht="12" customHeight="1">
      <c r="A353" s="633"/>
      <c r="B353" s="636" t="s">
        <v>317</v>
      </c>
      <c r="C353" s="637">
        <v>0</v>
      </c>
      <c r="D353" s="637">
        <v>0</v>
      </c>
      <c r="E353" s="637">
        <v>0</v>
      </c>
      <c r="F353" s="637">
        <v>0</v>
      </c>
      <c r="G353" s="637">
        <v>0</v>
      </c>
      <c r="H353" s="637">
        <v>0</v>
      </c>
      <c r="I353" s="637">
        <v>0</v>
      </c>
      <c r="J353" s="637">
        <v>0</v>
      </c>
      <c r="K353" s="637">
        <v>0</v>
      </c>
      <c r="L353" s="637">
        <v>0</v>
      </c>
      <c r="M353" s="602"/>
      <c r="N353" s="602"/>
      <c r="O353" s="602"/>
      <c r="P353" s="602"/>
      <c r="Q353" s="602"/>
      <c r="R353" s="602"/>
    </row>
    <row r="354" spans="1:18" ht="12" customHeight="1">
      <c r="A354" s="633"/>
      <c r="B354" s="636" t="s">
        <v>318</v>
      </c>
      <c r="C354" s="637">
        <v>0</v>
      </c>
      <c r="D354" s="637">
        <v>0</v>
      </c>
      <c r="E354" s="637">
        <v>0</v>
      </c>
      <c r="F354" s="637">
        <v>0</v>
      </c>
      <c r="G354" s="637">
        <v>0</v>
      </c>
      <c r="H354" s="637">
        <v>0</v>
      </c>
      <c r="I354" s="637">
        <v>0</v>
      </c>
      <c r="J354" s="637">
        <v>0</v>
      </c>
      <c r="K354" s="637">
        <v>0</v>
      </c>
      <c r="L354" s="635" t="s">
        <v>104</v>
      </c>
      <c r="M354" s="602"/>
      <c r="N354" s="602"/>
      <c r="O354" s="602"/>
      <c r="P354" s="602"/>
      <c r="Q354" s="602"/>
      <c r="R354" s="602"/>
    </row>
    <row r="355" spans="1:18" ht="12" customHeight="1">
      <c r="A355" s="633"/>
      <c r="B355" s="636" t="s">
        <v>319</v>
      </c>
      <c r="C355" s="637">
        <v>0</v>
      </c>
      <c r="D355" s="637">
        <v>0</v>
      </c>
      <c r="E355" s="637">
        <v>0</v>
      </c>
      <c r="F355" s="637">
        <v>0</v>
      </c>
      <c r="G355" s="637">
        <v>0</v>
      </c>
      <c r="H355" s="637">
        <v>0</v>
      </c>
      <c r="I355" s="637">
        <v>0</v>
      </c>
      <c r="J355" s="637">
        <v>0</v>
      </c>
      <c r="K355" s="637">
        <v>0</v>
      </c>
      <c r="L355" s="635" t="s">
        <v>104</v>
      </c>
      <c r="M355" s="602"/>
      <c r="N355" s="602"/>
      <c r="O355" s="602"/>
      <c r="P355" s="602"/>
      <c r="Q355" s="602"/>
      <c r="R355" s="602"/>
    </row>
    <row r="356" spans="1:18" ht="12" customHeight="1">
      <c r="A356" s="633"/>
      <c r="B356" s="636" t="s">
        <v>320</v>
      </c>
      <c r="C356" s="637">
        <v>0</v>
      </c>
      <c r="D356" s="637">
        <v>0</v>
      </c>
      <c r="E356" s="637">
        <v>0</v>
      </c>
      <c r="F356" s="637">
        <v>0</v>
      </c>
      <c r="G356" s="637">
        <v>0</v>
      </c>
      <c r="H356" s="637">
        <v>89095</v>
      </c>
      <c r="I356" s="637">
        <v>0</v>
      </c>
      <c r="J356" s="637">
        <v>0</v>
      </c>
      <c r="K356" s="637">
        <v>0</v>
      </c>
      <c r="L356" s="637">
        <v>0</v>
      </c>
      <c r="M356" s="602"/>
      <c r="N356" s="602"/>
      <c r="O356" s="602"/>
      <c r="P356" s="602"/>
      <c r="Q356" s="602"/>
      <c r="R356" s="602"/>
    </row>
    <row r="357" spans="1:18" ht="12" customHeight="1">
      <c r="A357" s="633"/>
      <c r="B357" s="636" t="s">
        <v>321</v>
      </c>
      <c r="C357" s="637">
        <v>0</v>
      </c>
      <c r="D357" s="637">
        <v>0</v>
      </c>
      <c r="E357" s="637">
        <v>0</v>
      </c>
      <c r="F357" s="637">
        <v>0</v>
      </c>
      <c r="G357" s="637">
        <v>0</v>
      </c>
      <c r="H357" s="637">
        <v>89095</v>
      </c>
      <c r="I357" s="637">
        <v>0</v>
      </c>
      <c r="J357" s="637">
        <v>0</v>
      </c>
      <c r="K357" s="637">
        <v>0</v>
      </c>
      <c r="L357" s="637">
        <v>0</v>
      </c>
      <c r="M357" s="602"/>
      <c r="N357" s="602"/>
      <c r="O357" s="602"/>
      <c r="P357" s="602"/>
      <c r="Q357" s="602"/>
      <c r="R357" s="602"/>
    </row>
    <row r="358" spans="1:18" ht="12" customHeight="1">
      <c r="A358" s="633"/>
      <c r="B358" s="636" t="s">
        <v>322</v>
      </c>
      <c r="C358" s="637">
        <v>0</v>
      </c>
      <c r="D358" s="637">
        <v>0</v>
      </c>
      <c r="E358" s="637">
        <v>0</v>
      </c>
      <c r="F358" s="637">
        <v>0</v>
      </c>
      <c r="G358" s="637">
        <v>0</v>
      </c>
      <c r="H358" s="637">
        <v>0</v>
      </c>
      <c r="I358" s="637">
        <v>0</v>
      </c>
      <c r="J358" s="637">
        <v>0</v>
      </c>
      <c r="K358" s="637">
        <v>0</v>
      </c>
      <c r="L358" s="637">
        <v>0</v>
      </c>
      <c r="M358" s="602"/>
      <c r="N358" s="602"/>
      <c r="O358" s="602"/>
      <c r="P358" s="602"/>
      <c r="Q358" s="602"/>
      <c r="R358" s="602"/>
    </row>
    <row r="359" spans="1:18" ht="12" customHeight="1">
      <c r="A359" s="633"/>
      <c r="B359" s="636" t="s">
        <v>323</v>
      </c>
      <c r="C359" s="637">
        <v>0</v>
      </c>
      <c r="D359" s="637">
        <v>0</v>
      </c>
      <c r="E359" s="637">
        <v>0</v>
      </c>
      <c r="F359" s="637">
        <v>0</v>
      </c>
      <c r="G359" s="637">
        <v>0</v>
      </c>
      <c r="H359" s="637">
        <v>0</v>
      </c>
      <c r="I359" s="637">
        <v>0</v>
      </c>
      <c r="J359" s="637">
        <v>0</v>
      </c>
      <c r="K359" s="637">
        <v>0</v>
      </c>
      <c r="L359" s="637">
        <v>0</v>
      </c>
      <c r="M359" s="602"/>
      <c r="N359" s="602"/>
      <c r="O359" s="602"/>
      <c r="P359" s="602"/>
      <c r="Q359" s="602"/>
      <c r="R359" s="602"/>
    </row>
    <row r="360" spans="1:18" ht="12" customHeight="1">
      <c r="A360" s="633"/>
      <c r="B360" s="636" t="s">
        <v>324</v>
      </c>
      <c r="C360" s="637">
        <v>0</v>
      </c>
      <c r="D360" s="637">
        <v>0</v>
      </c>
      <c r="E360" s="637">
        <v>0</v>
      </c>
      <c r="F360" s="637">
        <v>0</v>
      </c>
      <c r="G360" s="637">
        <v>0</v>
      </c>
      <c r="H360" s="637">
        <v>0</v>
      </c>
      <c r="I360" s="637">
        <v>0</v>
      </c>
      <c r="J360" s="637">
        <v>0</v>
      </c>
      <c r="K360" s="637">
        <v>0</v>
      </c>
      <c r="L360" s="635" t="s">
        <v>104</v>
      </c>
      <c r="M360" s="602"/>
      <c r="N360" s="602"/>
      <c r="O360" s="602"/>
      <c r="P360" s="602"/>
      <c r="Q360" s="602"/>
      <c r="R360" s="602"/>
    </row>
    <row r="361" spans="1:18" ht="23.25" customHeight="1">
      <c r="A361" s="633"/>
      <c r="B361" s="636" t="s">
        <v>325</v>
      </c>
      <c r="C361" s="637">
        <v>0</v>
      </c>
      <c r="D361" s="637">
        <v>0</v>
      </c>
      <c r="E361" s="637">
        <v>0</v>
      </c>
      <c r="F361" s="637">
        <v>0</v>
      </c>
      <c r="G361" s="637">
        <v>0</v>
      </c>
      <c r="H361" s="637">
        <v>0</v>
      </c>
      <c r="I361" s="637">
        <v>0</v>
      </c>
      <c r="J361" s="637">
        <v>0</v>
      </c>
      <c r="K361" s="637">
        <v>0</v>
      </c>
      <c r="L361" s="635" t="s">
        <v>104</v>
      </c>
      <c r="M361" s="602"/>
      <c r="N361" s="602"/>
      <c r="O361" s="602"/>
      <c r="P361" s="602"/>
      <c r="Q361" s="602"/>
      <c r="R361" s="602"/>
    </row>
    <row r="362" spans="1:18" ht="12" customHeight="1">
      <c r="A362" s="633"/>
      <c r="B362" s="634"/>
      <c r="C362" s="634"/>
      <c r="D362" s="634"/>
      <c r="E362" s="634"/>
      <c r="F362" s="634"/>
      <c r="G362" s="634"/>
      <c r="H362" s="634"/>
      <c r="I362" s="634"/>
      <c r="J362" s="634"/>
      <c r="K362" s="634"/>
      <c r="L362" s="634"/>
      <c r="M362" s="602"/>
      <c r="N362" s="602"/>
      <c r="O362" s="602"/>
      <c r="P362" s="602"/>
      <c r="Q362" s="602"/>
      <c r="R362" s="602"/>
    </row>
    <row r="363" spans="1:18" ht="23.25" customHeight="1">
      <c r="A363" s="633"/>
      <c r="B363" s="636" t="s">
        <v>326</v>
      </c>
      <c r="C363" s="637">
        <v>0</v>
      </c>
      <c r="D363" s="637">
        <v>0</v>
      </c>
      <c r="E363" s="637">
        <v>0</v>
      </c>
      <c r="F363" s="637">
        <v>0</v>
      </c>
      <c r="G363" s="637">
        <v>0</v>
      </c>
      <c r="H363" s="637">
        <v>0</v>
      </c>
      <c r="I363" s="637">
        <v>0</v>
      </c>
      <c r="J363" s="637">
        <v>0</v>
      </c>
      <c r="K363" s="637">
        <v>0</v>
      </c>
      <c r="L363" s="637">
        <v>-4211</v>
      </c>
      <c r="M363" s="602"/>
      <c r="N363" s="602"/>
      <c r="O363" s="602"/>
      <c r="P363" s="602"/>
      <c r="Q363" s="602"/>
      <c r="R363" s="602"/>
    </row>
    <row r="364" spans="1:18" ht="12" customHeight="1">
      <c r="A364" s="633"/>
      <c r="B364" s="636" t="s">
        <v>327</v>
      </c>
      <c r="C364" s="637">
        <v>0</v>
      </c>
      <c r="D364" s="637">
        <v>0</v>
      </c>
      <c r="E364" s="637">
        <v>0</v>
      </c>
      <c r="F364" s="637">
        <v>0</v>
      </c>
      <c r="G364" s="637">
        <v>0</v>
      </c>
      <c r="H364" s="637">
        <v>0</v>
      </c>
      <c r="I364" s="637">
        <v>0</v>
      </c>
      <c r="J364" s="637">
        <v>0</v>
      </c>
      <c r="K364" s="637">
        <v>0</v>
      </c>
      <c r="L364" s="637">
        <v>0</v>
      </c>
      <c r="M364" s="602"/>
      <c r="N364" s="602"/>
      <c r="O364" s="602"/>
      <c r="P364" s="602"/>
      <c r="Q364" s="602"/>
      <c r="R364" s="602"/>
    </row>
    <row r="365" spans="1:18" ht="12" customHeight="1">
      <c r="A365" s="633"/>
      <c r="B365" s="636" t="s">
        <v>328</v>
      </c>
      <c r="C365" s="637">
        <v>0</v>
      </c>
      <c r="D365" s="637">
        <v>0</v>
      </c>
      <c r="E365" s="637">
        <v>0</v>
      </c>
      <c r="F365" s="637">
        <v>0</v>
      </c>
      <c r="G365" s="637">
        <v>0</v>
      </c>
      <c r="H365" s="637">
        <v>0</v>
      </c>
      <c r="I365" s="637">
        <v>0</v>
      </c>
      <c r="J365" s="637">
        <v>0</v>
      </c>
      <c r="K365" s="637">
        <v>0</v>
      </c>
      <c r="L365" s="637">
        <v>0</v>
      </c>
      <c r="M365" s="602"/>
      <c r="N365" s="602"/>
      <c r="O365" s="602"/>
      <c r="P365" s="602"/>
      <c r="Q365" s="602"/>
      <c r="R365" s="602"/>
    </row>
    <row r="366" spans="1:18" ht="12" customHeight="1">
      <c r="A366" s="633"/>
      <c r="B366" s="636" t="s">
        <v>329</v>
      </c>
      <c r="C366" s="637">
        <v>0</v>
      </c>
      <c r="D366" s="637">
        <v>0</v>
      </c>
      <c r="E366" s="637">
        <v>0</v>
      </c>
      <c r="F366" s="637">
        <v>0</v>
      </c>
      <c r="G366" s="637">
        <v>0</v>
      </c>
      <c r="H366" s="637">
        <v>0</v>
      </c>
      <c r="I366" s="637">
        <v>0</v>
      </c>
      <c r="J366" s="637">
        <v>0</v>
      </c>
      <c r="K366" s="637">
        <v>0</v>
      </c>
      <c r="L366" s="637">
        <v>4211</v>
      </c>
      <c r="M366" s="602"/>
      <c r="N366" s="602"/>
      <c r="O366" s="602"/>
      <c r="P366" s="602"/>
      <c r="Q366" s="602"/>
      <c r="R366" s="602"/>
    </row>
    <row r="367" spans="1:18" ht="12" customHeight="1">
      <c r="A367" s="633"/>
      <c r="B367" s="636" t="s">
        <v>330</v>
      </c>
      <c r="C367" s="637">
        <v>0</v>
      </c>
      <c r="D367" s="637">
        <v>0</v>
      </c>
      <c r="E367" s="637">
        <v>0</v>
      </c>
      <c r="F367" s="637">
        <v>0</v>
      </c>
      <c r="G367" s="637">
        <v>0</v>
      </c>
      <c r="H367" s="637">
        <v>0</v>
      </c>
      <c r="I367" s="637">
        <v>0</v>
      </c>
      <c r="J367" s="637">
        <v>0</v>
      </c>
      <c r="K367" s="637">
        <v>0</v>
      </c>
      <c r="L367" s="637">
        <v>0</v>
      </c>
      <c r="M367" s="602"/>
      <c r="N367" s="602"/>
      <c r="O367" s="602"/>
      <c r="P367" s="602"/>
      <c r="Q367" s="602"/>
      <c r="R367" s="602"/>
    </row>
    <row r="368" spans="1:18" ht="12" customHeight="1">
      <c r="A368" s="633"/>
      <c r="B368" s="636" t="s">
        <v>331</v>
      </c>
      <c r="C368" s="637">
        <v>0</v>
      </c>
      <c r="D368" s="637">
        <v>0</v>
      </c>
      <c r="E368" s="637">
        <v>0</v>
      </c>
      <c r="F368" s="637">
        <v>0</v>
      </c>
      <c r="G368" s="637">
        <v>0</v>
      </c>
      <c r="H368" s="637">
        <v>0</v>
      </c>
      <c r="I368" s="637">
        <v>0</v>
      </c>
      <c r="J368" s="637">
        <v>0</v>
      </c>
      <c r="K368" s="637">
        <v>0</v>
      </c>
      <c r="L368" s="637">
        <v>0</v>
      </c>
      <c r="M368" s="602"/>
      <c r="N368" s="602"/>
      <c r="O368" s="602"/>
      <c r="P368" s="602"/>
      <c r="Q368" s="602"/>
      <c r="R368" s="602"/>
    </row>
    <row r="369" spans="1:18" ht="12" customHeight="1">
      <c r="A369" s="633"/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02"/>
      <c r="N369" s="602"/>
      <c r="O369" s="602"/>
      <c r="P369" s="602"/>
      <c r="Q369" s="602"/>
      <c r="R369" s="602"/>
    </row>
    <row r="370" spans="1:18" ht="12" customHeight="1">
      <c r="A370" s="633"/>
      <c r="B370" s="636" t="s">
        <v>332</v>
      </c>
      <c r="C370" s="637">
        <v>228541</v>
      </c>
      <c r="D370" s="637">
        <v>798349</v>
      </c>
      <c r="E370" s="637">
        <v>1016001</v>
      </c>
      <c r="F370" s="637">
        <v>715581</v>
      </c>
      <c r="G370" s="637">
        <v>380173</v>
      </c>
      <c r="H370" s="637">
        <v>28216</v>
      </c>
      <c r="I370" s="637">
        <v>328842</v>
      </c>
      <c r="J370" s="637">
        <v>374943</v>
      </c>
      <c r="K370" s="637">
        <v>276220</v>
      </c>
      <c r="L370" s="637">
        <v>192202</v>
      </c>
      <c r="M370" s="602"/>
      <c r="N370" s="602"/>
      <c r="O370" s="602"/>
      <c r="P370" s="602"/>
      <c r="Q370" s="602"/>
      <c r="R370" s="602"/>
    </row>
    <row r="371" spans="1:18" ht="23.25" customHeight="1">
      <c r="A371" s="633"/>
      <c r="B371" s="636" t="s">
        <v>333</v>
      </c>
      <c r="C371" s="637">
        <v>68506</v>
      </c>
      <c r="D371" s="637">
        <v>126060</v>
      </c>
      <c r="E371" s="637">
        <v>239221</v>
      </c>
      <c r="F371" s="637">
        <v>201773</v>
      </c>
      <c r="G371" s="637">
        <v>75423</v>
      </c>
      <c r="H371" s="637">
        <v>8512</v>
      </c>
      <c r="I371" s="637">
        <v>119394</v>
      </c>
      <c r="J371" s="637">
        <v>118123</v>
      </c>
      <c r="K371" s="637">
        <v>112054</v>
      </c>
      <c r="L371" s="637">
        <v>68045</v>
      </c>
      <c r="M371" s="602"/>
      <c r="N371" s="602"/>
      <c r="O371" s="602"/>
      <c r="P371" s="602"/>
      <c r="Q371" s="602"/>
      <c r="R371" s="602"/>
    </row>
    <row r="372" spans="1:18" ht="12" customHeight="1">
      <c r="A372" s="633"/>
      <c r="B372" s="636" t="s">
        <v>334</v>
      </c>
      <c r="C372" s="637">
        <v>68506</v>
      </c>
      <c r="D372" s="637">
        <v>126060</v>
      </c>
      <c r="E372" s="637">
        <v>239221</v>
      </c>
      <c r="F372" s="637">
        <v>201773</v>
      </c>
      <c r="G372" s="637">
        <v>75423</v>
      </c>
      <c r="H372" s="637">
        <v>8512</v>
      </c>
      <c r="I372" s="637">
        <v>119394</v>
      </c>
      <c r="J372" s="637">
        <v>118123</v>
      </c>
      <c r="K372" s="637">
        <v>112054</v>
      </c>
      <c r="L372" s="637">
        <v>68045</v>
      </c>
      <c r="M372" s="602"/>
      <c r="N372" s="602"/>
      <c r="O372" s="602"/>
      <c r="P372" s="602"/>
      <c r="Q372" s="602"/>
      <c r="R372" s="602"/>
    </row>
    <row r="373" spans="1:18" ht="12" customHeight="1">
      <c r="A373" s="633"/>
      <c r="B373" s="636" t="s">
        <v>335</v>
      </c>
      <c r="C373" s="637">
        <v>0</v>
      </c>
      <c r="D373" s="637">
        <v>0</v>
      </c>
      <c r="E373" s="637">
        <v>0</v>
      </c>
      <c r="F373" s="637">
        <v>0</v>
      </c>
      <c r="G373" s="637">
        <v>0</v>
      </c>
      <c r="H373" s="637">
        <v>0</v>
      </c>
      <c r="I373" s="637">
        <v>0</v>
      </c>
      <c r="J373" s="637">
        <v>0</v>
      </c>
      <c r="K373" s="637">
        <v>0</v>
      </c>
      <c r="L373" s="635" t="s">
        <v>104</v>
      </c>
      <c r="M373" s="602"/>
      <c r="N373" s="602"/>
      <c r="O373" s="602"/>
      <c r="P373" s="602"/>
      <c r="Q373" s="602"/>
      <c r="R373" s="602"/>
    </row>
    <row r="374" spans="1:18" ht="12" customHeight="1">
      <c r="A374" s="633"/>
      <c r="B374" s="636" t="s">
        <v>336</v>
      </c>
      <c r="C374" s="637">
        <v>0</v>
      </c>
      <c r="D374" s="637">
        <v>0</v>
      </c>
      <c r="E374" s="637">
        <v>0</v>
      </c>
      <c r="F374" s="637">
        <v>0</v>
      </c>
      <c r="G374" s="637">
        <v>0</v>
      </c>
      <c r="H374" s="637">
        <v>0</v>
      </c>
      <c r="I374" s="637">
        <v>0</v>
      </c>
      <c r="J374" s="637">
        <v>0</v>
      </c>
      <c r="K374" s="637">
        <v>0</v>
      </c>
      <c r="L374" s="637">
        <v>0</v>
      </c>
      <c r="M374" s="602"/>
      <c r="N374" s="602"/>
      <c r="O374" s="602"/>
      <c r="P374" s="602"/>
      <c r="Q374" s="602"/>
      <c r="R374" s="602"/>
    </row>
    <row r="375" spans="1:18" ht="12" customHeight="1">
      <c r="A375" s="633"/>
      <c r="B375" s="636" t="s">
        <v>337</v>
      </c>
      <c r="C375" s="637">
        <v>0</v>
      </c>
      <c r="D375" s="637">
        <v>0</v>
      </c>
      <c r="E375" s="637">
        <v>0</v>
      </c>
      <c r="F375" s="637">
        <v>0</v>
      </c>
      <c r="G375" s="637">
        <v>0</v>
      </c>
      <c r="H375" s="637">
        <v>0</v>
      </c>
      <c r="I375" s="637">
        <v>0</v>
      </c>
      <c r="J375" s="637">
        <v>0</v>
      </c>
      <c r="K375" s="635" t="s">
        <v>104</v>
      </c>
      <c r="L375" s="635" t="s">
        <v>104</v>
      </c>
      <c r="M375" s="602"/>
      <c r="N375" s="602"/>
      <c r="O375" s="602"/>
      <c r="P375" s="602"/>
      <c r="Q375" s="602"/>
      <c r="R375" s="602"/>
    </row>
    <row r="376" spans="1:18" ht="12" customHeight="1">
      <c r="A376" s="633"/>
      <c r="B376" s="636" t="s">
        <v>338</v>
      </c>
      <c r="C376" s="637">
        <v>0</v>
      </c>
      <c r="D376" s="637">
        <v>0</v>
      </c>
      <c r="E376" s="637">
        <v>0</v>
      </c>
      <c r="F376" s="637">
        <v>0</v>
      </c>
      <c r="G376" s="637">
        <v>0</v>
      </c>
      <c r="H376" s="637">
        <v>0</v>
      </c>
      <c r="I376" s="637">
        <v>0</v>
      </c>
      <c r="J376" s="637">
        <v>0</v>
      </c>
      <c r="K376" s="635" t="s">
        <v>104</v>
      </c>
      <c r="L376" s="635" t="s">
        <v>104</v>
      </c>
      <c r="M376" s="602"/>
      <c r="N376" s="602"/>
      <c r="O376" s="602"/>
      <c r="P376" s="602"/>
      <c r="Q376" s="602"/>
      <c r="R376" s="602"/>
    </row>
    <row r="377" spans="1:18" ht="23.25" customHeight="1">
      <c r="A377" s="633"/>
      <c r="B377" s="636" t="s">
        <v>339</v>
      </c>
      <c r="C377" s="637">
        <v>0</v>
      </c>
      <c r="D377" s="637">
        <v>0</v>
      </c>
      <c r="E377" s="637">
        <v>0</v>
      </c>
      <c r="F377" s="637">
        <v>0</v>
      </c>
      <c r="G377" s="637">
        <v>0</v>
      </c>
      <c r="H377" s="637">
        <v>0</v>
      </c>
      <c r="I377" s="637">
        <v>0</v>
      </c>
      <c r="J377" s="637">
        <v>0</v>
      </c>
      <c r="K377" s="635" t="s">
        <v>104</v>
      </c>
      <c r="L377" s="635" t="s">
        <v>104</v>
      </c>
      <c r="M377" s="602"/>
      <c r="N377" s="602"/>
      <c r="O377" s="602"/>
      <c r="P377" s="602"/>
      <c r="Q377" s="602"/>
      <c r="R377" s="602"/>
    </row>
    <row r="378" spans="1:18" ht="12" customHeight="1">
      <c r="A378" s="633"/>
      <c r="B378" s="634"/>
      <c r="C378" s="634"/>
      <c r="D378" s="634"/>
      <c r="E378" s="634"/>
      <c r="F378" s="634"/>
      <c r="G378" s="634"/>
      <c r="H378" s="634"/>
      <c r="I378" s="634"/>
      <c r="J378" s="634"/>
      <c r="K378" s="634"/>
      <c r="L378" s="634"/>
      <c r="M378" s="602"/>
      <c r="N378" s="602"/>
      <c r="O378" s="602"/>
      <c r="P378" s="602"/>
      <c r="Q378" s="602"/>
      <c r="R378" s="602"/>
    </row>
    <row r="379" spans="1:18" ht="12" customHeight="1">
      <c r="A379" s="633"/>
      <c r="B379" s="636" t="s">
        <v>340</v>
      </c>
      <c r="C379" s="637">
        <v>160035</v>
      </c>
      <c r="D379" s="637">
        <v>672289</v>
      </c>
      <c r="E379" s="637">
        <v>776780</v>
      </c>
      <c r="F379" s="637">
        <v>513808</v>
      </c>
      <c r="G379" s="637">
        <v>304750</v>
      </c>
      <c r="H379" s="637">
        <v>19704</v>
      </c>
      <c r="I379" s="637">
        <v>209448</v>
      </c>
      <c r="J379" s="637">
        <v>256820</v>
      </c>
      <c r="K379" s="637">
        <v>164166</v>
      </c>
      <c r="L379" s="637">
        <v>124157</v>
      </c>
      <c r="M379" s="602"/>
      <c r="N379" s="602"/>
      <c r="O379" s="602"/>
      <c r="P379" s="602"/>
      <c r="Q379" s="602"/>
      <c r="R379" s="602"/>
    </row>
    <row r="380" spans="1:18" ht="12" customHeight="1">
      <c r="A380" s="633"/>
      <c r="B380" s="636" t="s">
        <v>341</v>
      </c>
      <c r="C380" s="635" t="s">
        <v>104</v>
      </c>
      <c r="D380" s="635" t="s">
        <v>104</v>
      </c>
      <c r="E380" s="635" t="s">
        <v>104</v>
      </c>
      <c r="F380" s="635" t="s">
        <v>104</v>
      </c>
      <c r="G380" s="635" t="s">
        <v>104</v>
      </c>
      <c r="H380" s="635" t="s">
        <v>104</v>
      </c>
      <c r="I380" s="635" t="s">
        <v>104</v>
      </c>
      <c r="J380" s="635" t="s">
        <v>104</v>
      </c>
      <c r="K380" s="635" t="s">
        <v>104</v>
      </c>
      <c r="L380" s="635" t="s">
        <v>104</v>
      </c>
      <c r="M380" s="602"/>
      <c r="N380" s="602"/>
      <c r="O380" s="602"/>
      <c r="P380" s="602"/>
      <c r="Q380" s="602"/>
      <c r="R380" s="602"/>
    </row>
    <row r="381" spans="1:18" ht="12" customHeight="1">
      <c r="A381" s="633"/>
      <c r="B381" s="636" t="s">
        <v>342</v>
      </c>
      <c r="C381" s="637">
        <v>160035</v>
      </c>
      <c r="D381" s="637">
        <v>672289</v>
      </c>
      <c r="E381" s="637">
        <v>776780</v>
      </c>
      <c r="F381" s="637">
        <v>513808</v>
      </c>
      <c r="G381" s="637">
        <v>304750</v>
      </c>
      <c r="H381" s="637">
        <v>19704</v>
      </c>
      <c r="I381" s="637">
        <v>209448</v>
      </c>
      <c r="J381" s="637">
        <v>256820</v>
      </c>
      <c r="K381" s="637">
        <v>164166</v>
      </c>
      <c r="L381" s="637">
        <v>124157</v>
      </c>
      <c r="M381" s="602"/>
      <c r="N381" s="602"/>
      <c r="O381" s="602"/>
      <c r="P381" s="602"/>
      <c r="Q381" s="602"/>
      <c r="R381" s="602"/>
    </row>
    <row r="382" spans="1:18" ht="12" customHeight="1">
      <c r="A382" s="633"/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02"/>
      <c r="N382" s="602"/>
      <c r="O382" s="602"/>
      <c r="P382" s="602"/>
      <c r="Q382" s="602"/>
      <c r="R382" s="602"/>
    </row>
    <row r="383" spans="1:18" ht="12" customHeight="1">
      <c r="A383" s="633"/>
      <c r="B383" s="636" t="s">
        <v>343</v>
      </c>
      <c r="C383" s="639">
        <v>52</v>
      </c>
      <c r="D383" s="639">
        <v>48</v>
      </c>
      <c r="E383" s="639">
        <v>42</v>
      </c>
      <c r="F383" s="639">
        <v>40</v>
      </c>
      <c r="G383" s="639">
        <v>38</v>
      </c>
      <c r="H383" s="639">
        <v>36</v>
      </c>
      <c r="I383" s="639">
        <v>25</v>
      </c>
      <c r="J383" s="639">
        <v>19</v>
      </c>
      <c r="K383" s="639">
        <v>15</v>
      </c>
      <c r="L383" s="639">
        <v>15</v>
      </c>
      <c r="M383" s="602"/>
      <c r="N383" s="602"/>
      <c r="O383" s="602"/>
      <c r="P383" s="602"/>
      <c r="Q383" s="602"/>
      <c r="R383" s="602"/>
    </row>
    <row r="384" spans="1:18" ht="12" customHeight="1">
      <c r="A384" s="633"/>
      <c r="B384" s="634"/>
      <c r="C384" s="634"/>
      <c r="D384" s="634"/>
      <c r="E384" s="634"/>
      <c r="F384" s="634"/>
      <c r="G384" s="634"/>
      <c r="H384" s="634"/>
      <c r="I384" s="634"/>
      <c r="J384" s="634"/>
      <c r="K384" s="634"/>
      <c r="L384" s="634"/>
      <c r="M384" s="602"/>
      <c r="N384" s="602"/>
      <c r="O384" s="602"/>
      <c r="P384" s="602"/>
      <c r="Q384" s="602"/>
      <c r="R384" s="602"/>
    </row>
    <row r="385" spans="1:18" ht="12" customHeight="1">
      <c r="A385" s="599"/>
      <c r="B385" s="602"/>
      <c r="C385" s="602"/>
      <c r="D385" s="602"/>
      <c r="E385" s="602"/>
      <c r="F385" s="602"/>
      <c r="G385" s="602"/>
      <c r="H385" s="602"/>
      <c r="I385" s="602"/>
      <c r="J385" s="602"/>
      <c r="K385" s="602"/>
      <c r="L385" s="602"/>
      <c r="M385" s="602"/>
      <c r="N385" s="602"/>
      <c r="O385" s="602"/>
      <c r="P385" s="602"/>
      <c r="Q385" s="602"/>
      <c r="R385" s="602"/>
    </row>
    <row r="386" spans="1:18" ht="15.75" customHeight="1">
      <c r="A386" s="614" t="s">
        <v>344</v>
      </c>
      <c r="B386" s="615"/>
      <c r="C386" s="602"/>
      <c r="D386" s="602"/>
      <c r="E386" s="602"/>
      <c r="F386" s="602"/>
      <c r="G386" s="602"/>
      <c r="H386" s="602"/>
      <c r="I386" s="602"/>
      <c r="J386" s="602"/>
      <c r="K386" s="602"/>
      <c r="L386" s="602"/>
      <c r="M386" s="602"/>
      <c r="N386" s="602"/>
      <c r="O386" s="602"/>
      <c r="P386" s="602"/>
      <c r="Q386" s="602"/>
      <c r="R386" s="602"/>
    </row>
    <row r="387" spans="1:18" ht="12" customHeight="1">
      <c r="A387" s="599"/>
      <c r="B387" s="602"/>
      <c r="C387" s="602"/>
      <c r="D387" s="602"/>
      <c r="E387" s="602"/>
      <c r="F387" s="602"/>
      <c r="G387" s="602"/>
      <c r="H387" s="602"/>
      <c r="I387" s="602"/>
      <c r="J387" s="602"/>
      <c r="K387" s="602"/>
      <c r="L387" s="602"/>
      <c r="M387" s="602"/>
      <c r="N387" s="602"/>
      <c r="O387" s="602"/>
      <c r="P387" s="602"/>
      <c r="Q387" s="602"/>
      <c r="R387" s="602"/>
    </row>
    <row r="388" spans="1:18" ht="23.25" customHeight="1">
      <c r="A388" s="630"/>
      <c r="B388" s="631" t="s">
        <v>32</v>
      </c>
      <c r="C388" s="632" t="s">
        <v>70</v>
      </c>
      <c r="D388" s="632" t="s">
        <v>71</v>
      </c>
      <c r="E388" s="632" t="s">
        <v>72</v>
      </c>
      <c r="F388" s="632" t="s">
        <v>73</v>
      </c>
      <c r="G388" s="632" t="s">
        <v>74</v>
      </c>
      <c r="H388" s="632" t="s">
        <v>75</v>
      </c>
      <c r="I388" s="632" t="s">
        <v>76</v>
      </c>
      <c r="J388" s="632" t="s">
        <v>77</v>
      </c>
      <c r="K388" s="632" t="s">
        <v>78</v>
      </c>
      <c r="L388" s="632" t="s">
        <v>79</v>
      </c>
      <c r="M388" s="602"/>
      <c r="N388" s="602"/>
      <c r="O388" s="602"/>
      <c r="P388" s="602"/>
      <c r="Q388" s="602"/>
      <c r="R388" s="602"/>
    </row>
    <row r="389" spans="1:18" ht="34.5" customHeight="1">
      <c r="A389" s="633"/>
      <c r="B389" s="634"/>
      <c r="C389" s="635" t="s">
        <v>80</v>
      </c>
      <c r="D389" s="635" t="s">
        <v>80</v>
      </c>
      <c r="E389" s="635" t="s">
        <v>80</v>
      </c>
      <c r="F389" s="635" t="s">
        <v>80</v>
      </c>
      <c r="G389" s="635" t="s">
        <v>80</v>
      </c>
      <c r="H389" s="635" t="s">
        <v>80</v>
      </c>
      <c r="I389" s="635" t="s">
        <v>80</v>
      </c>
      <c r="J389" s="635" t="s">
        <v>81</v>
      </c>
      <c r="K389" s="635" t="s">
        <v>81</v>
      </c>
      <c r="L389" s="635" t="s">
        <v>81</v>
      </c>
      <c r="M389" s="602"/>
      <c r="N389" s="602"/>
      <c r="O389" s="602"/>
      <c r="P389" s="602"/>
      <c r="Q389" s="602"/>
      <c r="R389" s="602"/>
    </row>
    <row r="390" spans="1:18" ht="12" customHeight="1">
      <c r="A390" s="640"/>
      <c r="B390" s="641" t="s">
        <v>345</v>
      </c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02"/>
      <c r="N390" s="602"/>
      <c r="O390" s="602"/>
      <c r="P390" s="602"/>
      <c r="Q390" s="602"/>
      <c r="R390" s="602"/>
    </row>
    <row r="391" spans="1:18" ht="12" customHeight="1">
      <c r="A391" s="633"/>
      <c r="B391" s="634"/>
      <c r="C391" s="634"/>
      <c r="D391" s="634"/>
      <c r="E391" s="634"/>
      <c r="F391" s="634"/>
      <c r="G391" s="634"/>
      <c r="H391" s="634"/>
      <c r="I391" s="634"/>
      <c r="J391" s="634"/>
      <c r="K391" s="634"/>
      <c r="L391" s="634"/>
      <c r="M391" s="602"/>
      <c r="N391" s="602"/>
      <c r="O391" s="602"/>
      <c r="P391" s="602"/>
      <c r="Q391" s="602"/>
      <c r="R391" s="602"/>
    </row>
    <row r="392" spans="1:18" ht="12" customHeight="1">
      <c r="A392" s="633"/>
      <c r="B392" s="636" t="s">
        <v>346</v>
      </c>
      <c r="C392" s="638">
        <v>1.59</v>
      </c>
      <c r="D392" s="638">
        <v>1.61</v>
      </c>
      <c r="E392" s="638">
        <v>1.6300000000000001</v>
      </c>
      <c r="F392" s="638">
        <v>1.49</v>
      </c>
      <c r="G392" s="638">
        <v>1.99</v>
      </c>
      <c r="H392" s="638">
        <v>1.48</v>
      </c>
      <c r="I392" s="638">
        <v>1.1800000000000002</v>
      </c>
      <c r="J392" s="638">
        <v>1.1600000000000001</v>
      </c>
      <c r="K392" s="638">
        <v>1.08</v>
      </c>
      <c r="L392" s="638">
        <v>1.25</v>
      </c>
      <c r="M392" s="602"/>
      <c r="N392" s="602"/>
      <c r="O392" s="602"/>
      <c r="P392" s="602"/>
      <c r="Q392" s="602"/>
      <c r="R392" s="602"/>
    </row>
    <row r="393" spans="1:18" ht="12" customHeight="1">
      <c r="A393" s="633"/>
      <c r="B393" s="636" t="s">
        <v>347</v>
      </c>
      <c r="C393" s="638">
        <v>2.3299999999999996</v>
      </c>
      <c r="D393" s="638">
        <v>2.3099999999999996</v>
      </c>
      <c r="E393" s="638">
        <v>2.4499999999999997</v>
      </c>
      <c r="F393" s="638">
        <v>2.0699999999999998</v>
      </c>
      <c r="G393" s="638">
        <v>2.94</v>
      </c>
      <c r="H393" s="638">
        <v>1.97</v>
      </c>
      <c r="I393" s="638">
        <v>1.46</v>
      </c>
      <c r="J393" s="638">
        <v>1.5</v>
      </c>
      <c r="K393" s="638">
        <v>1.35</v>
      </c>
      <c r="L393" s="638">
        <v>1.54</v>
      </c>
      <c r="M393" s="602"/>
      <c r="N393" s="602"/>
      <c r="O393" s="602"/>
      <c r="P393" s="602"/>
      <c r="Q393" s="602"/>
      <c r="R393" s="602"/>
    </row>
    <row r="394" spans="1:18" ht="12" customHeight="1">
      <c r="A394" s="633"/>
      <c r="B394" s="636" t="s">
        <v>348</v>
      </c>
      <c r="C394" s="638">
        <v>0.47000000000000003</v>
      </c>
      <c r="D394" s="638">
        <v>0.5</v>
      </c>
      <c r="E394" s="638">
        <v>0.44</v>
      </c>
      <c r="F394" s="638">
        <v>0.53</v>
      </c>
      <c r="G394" s="638">
        <v>0.34</v>
      </c>
      <c r="H394" s="638">
        <v>0.44</v>
      </c>
      <c r="I394" s="638">
        <v>0.56000000000000005</v>
      </c>
      <c r="J394" s="638">
        <v>0.46</v>
      </c>
      <c r="K394" s="638">
        <v>0.52</v>
      </c>
      <c r="L394" s="638">
        <v>0.45</v>
      </c>
      <c r="M394" s="602"/>
      <c r="N394" s="602"/>
      <c r="O394" s="602"/>
      <c r="P394" s="602"/>
      <c r="Q394" s="602"/>
      <c r="R394" s="602"/>
    </row>
    <row r="395" spans="1:18" ht="12" customHeight="1">
      <c r="A395" s="633"/>
      <c r="B395" s="636" t="s">
        <v>349</v>
      </c>
      <c r="C395" s="638">
        <v>0.53</v>
      </c>
      <c r="D395" s="638">
        <v>0.5</v>
      </c>
      <c r="E395" s="638">
        <v>0.56000000000000005</v>
      </c>
      <c r="F395" s="638">
        <v>0.47000000000000003</v>
      </c>
      <c r="G395" s="638">
        <v>0.66000000000000014</v>
      </c>
      <c r="H395" s="638">
        <v>0.56000000000000005</v>
      </c>
      <c r="I395" s="638">
        <v>0.44</v>
      </c>
      <c r="J395" s="638">
        <v>0.54</v>
      </c>
      <c r="K395" s="638">
        <v>0.48000000000000004</v>
      </c>
      <c r="L395" s="638">
        <v>0.55000000000000004</v>
      </c>
      <c r="M395" s="602"/>
      <c r="N395" s="602"/>
      <c r="O395" s="602"/>
      <c r="P395" s="602"/>
      <c r="Q395" s="602"/>
      <c r="R395" s="602"/>
    </row>
    <row r="396" spans="1:18" ht="12" customHeight="1">
      <c r="A396" s="633"/>
      <c r="B396" s="636" t="s">
        <v>350</v>
      </c>
      <c r="C396" s="638">
        <v>0.21000000000000002</v>
      </c>
      <c r="D396" s="638">
        <v>0.2</v>
      </c>
      <c r="E396" s="638">
        <v>0.15000000000000002</v>
      </c>
      <c r="F396" s="638">
        <v>0.2</v>
      </c>
      <c r="G396" s="638">
        <v>0.17</v>
      </c>
      <c r="H396" s="638">
        <v>0.17</v>
      </c>
      <c r="I396" s="638">
        <v>0.18</v>
      </c>
      <c r="J396" s="638">
        <v>0.29000000000000004</v>
      </c>
      <c r="K396" s="638">
        <v>0.82000000000000006</v>
      </c>
      <c r="L396" s="638">
        <v>0.5</v>
      </c>
      <c r="M396" s="602"/>
      <c r="N396" s="602"/>
      <c r="O396" s="602"/>
      <c r="P396" s="602"/>
      <c r="Q396" s="602"/>
      <c r="R396" s="602"/>
    </row>
    <row r="397" spans="1:18" ht="12" customHeight="1">
      <c r="A397" s="633"/>
      <c r="B397" s="636" t="s">
        <v>351</v>
      </c>
      <c r="C397" s="635" t="s">
        <v>104</v>
      </c>
      <c r="D397" s="635" t="s">
        <v>104</v>
      </c>
      <c r="E397" s="635" t="s">
        <v>104</v>
      </c>
      <c r="F397" s="635" t="s">
        <v>104</v>
      </c>
      <c r="G397" s="635" t="s">
        <v>104</v>
      </c>
      <c r="H397" s="635" t="s">
        <v>104</v>
      </c>
      <c r="I397" s="635" t="s">
        <v>104</v>
      </c>
      <c r="J397" s="638">
        <v>2.75</v>
      </c>
      <c r="K397" s="638">
        <v>2.04</v>
      </c>
      <c r="L397" s="638">
        <v>1.53</v>
      </c>
      <c r="M397" s="602"/>
      <c r="N397" s="602"/>
      <c r="O397" s="602"/>
      <c r="P397" s="602"/>
      <c r="Q397" s="602"/>
      <c r="R397" s="602"/>
    </row>
    <row r="398" spans="1:18" ht="12" customHeight="1">
      <c r="A398" s="633"/>
      <c r="B398" s="636" t="s">
        <v>352</v>
      </c>
      <c r="C398" s="638">
        <v>4.18</v>
      </c>
      <c r="D398" s="638">
        <v>4.09</v>
      </c>
      <c r="E398" s="638">
        <v>4.8199999999999994</v>
      </c>
      <c r="F398" s="638">
        <v>6.07</v>
      </c>
      <c r="G398" s="638">
        <v>7.5</v>
      </c>
      <c r="H398" s="638">
        <v>10.32</v>
      </c>
      <c r="I398" s="638">
        <v>11.2</v>
      </c>
      <c r="J398" s="638">
        <v>12.17</v>
      </c>
      <c r="K398" s="638">
        <v>24.650000000000002</v>
      </c>
      <c r="L398" s="638">
        <v>13.709999999999999</v>
      </c>
      <c r="M398" s="602"/>
      <c r="N398" s="602"/>
      <c r="O398" s="602"/>
      <c r="P398" s="602"/>
      <c r="Q398" s="602"/>
      <c r="R398" s="602"/>
    </row>
    <row r="399" spans="1:18" ht="12" customHeight="1">
      <c r="A399" s="633"/>
      <c r="B399" s="636" t="s">
        <v>353</v>
      </c>
      <c r="C399" s="638">
        <v>3.7</v>
      </c>
      <c r="D399" s="638">
        <v>4.49</v>
      </c>
      <c r="E399" s="638">
        <v>4.4000000000000004</v>
      </c>
      <c r="F399" s="638">
        <v>5.73</v>
      </c>
      <c r="G399" s="638">
        <v>8.629999999999999</v>
      </c>
      <c r="H399" s="638">
        <v>6.8</v>
      </c>
      <c r="I399" s="638">
        <v>4.91</v>
      </c>
      <c r="J399" s="638">
        <v>4.54</v>
      </c>
      <c r="K399" s="638">
        <v>7.54</v>
      </c>
      <c r="L399" s="638">
        <v>8.1199999999999992</v>
      </c>
      <c r="M399" s="602"/>
      <c r="N399" s="602"/>
      <c r="O399" s="602"/>
      <c r="P399" s="602"/>
      <c r="Q399" s="602"/>
      <c r="R399" s="602"/>
    </row>
    <row r="400" spans="1:18" ht="12" customHeight="1">
      <c r="A400" s="633"/>
      <c r="B400" s="636" t="s">
        <v>354</v>
      </c>
      <c r="C400" s="638">
        <v>36.49</v>
      </c>
      <c r="D400" s="638">
        <v>35.17</v>
      </c>
      <c r="E400" s="638">
        <v>28.68</v>
      </c>
      <c r="F400" s="638">
        <v>25.19</v>
      </c>
      <c r="G400" s="638">
        <v>32.449999999999996</v>
      </c>
      <c r="H400" s="638">
        <v>27.67</v>
      </c>
      <c r="I400" s="638">
        <v>25.150000000000002</v>
      </c>
      <c r="J400" s="638">
        <v>13.44</v>
      </c>
      <c r="K400" s="638">
        <v>9.66</v>
      </c>
      <c r="L400" s="638">
        <v>13.55</v>
      </c>
      <c r="M400" s="602"/>
      <c r="N400" s="602"/>
      <c r="O400" s="602"/>
      <c r="P400" s="602"/>
      <c r="Q400" s="602"/>
      <c r="R400" s="602"/>
    </row>
    <row r="401" spans="1:18" ht="12" customHeight="1">
      <c r="A401" s="633"/>
      <c r="B401" s="636" t="s">
        <v>355</v>
      </c>
      <c r="C401" s="638">
        <v>6.79</v>
      </c>
      <c r="D401" s="638">
        <v>7.2700000000000005</v>
      </c>
      <c r="E401" s="638">
        <v>5.78</v>
      </c>
      <c r="F401" s="638">
        <v>5.45</v>
      </c>
      <c r="G401" s="638">
        <v>5.57</v>
      </c>
      <c r="H401" s="638">
        <v>6.56</v>
      </c>
      <c r="I401" s="638">
        <v>5.98</v>
      </c>
      <c r="J401" s="638">
        <v>13.709999999999999</v>
      </c>
      <c r="K401" s="635" t="s">
        <v>356</v>
      </c>
      <c r="L401" s="638">
        <v>18.330000000000002</v>
      </c>
      <c r="M401" s="602"/>
      <c r="N401" s="602"/>
      <c r="O401" s="602"/>
      <c r="P401" s="602"/>
      <c r="Q401" s="602"/>
      <c r="R401" s="602"/>
    </row>
    <row r="402" spans="1:18" ht="12" customHeight="1">
      <c r="A402" s="633"/>
      <c r="B402" s="636" t="s">
        <v>357</v>
      </c>
      <c r="C402" s="638">
        <v>2.7800000000000002</v>
      </c>
      <c r="D402" s="638">
        <v>3.96</v>
      </c>
      <c r="E402" s="638">
        <v>6.7</v>
      </c>
      <c r="F402" s="638">
        <v>8.48</v>
      </c>
      <c r="G402" s="638">
        <v>5.33</v>
      </c>
      <c r="H402" s="638">
        <v>3.66</v>
      </c>
      <c r="I402" s="638">
        <v>3.72</v>
      </c>
      <c r="J402" s="638">
        <v>3.9299999999999997</v>
      </c>
      <c r="K402" s="638">
        <v>3.2600000000000002</v>
      </c>
      <c r="L402" s="638">
        <v>2.75</v>
      </c>
      <c r="M402" s="602"/>
      <c r="N402" s="602"/>
      <c r="O402" s="602"/>
      <c r="P402" s="602"/>
      <c r="Q402" s="602"/>
      <c r="R402" s="602"/>
    </row>
    <row r="403" spans="1:18" ht="12" customHeight="1">
      <c r="A403" s="633"/>
      <c r="B403" s="636" t="s">
        <v>358</v>
      </c>
      <c r="C403" s="638">
        <v>2.48</v>
      </c>
      <c r="D403" s="638">
        <v>2.56</v>
      </c>
      <c r="E403" s="638">
        <v>1.6600000000000001</v>
      </c>
      <c r="F403" s="638">
        <v>1.37</v>
      </c>
      <c r="G403" s="638">
        <v>1.81</v>
      </c>
      <c r="H403" s="638">
        <v>1.82</v>
      </c>
      <c r="I403" s="638">
        <v>1.5</v>
      </c>
      <c r="J403" s="638">
        <v>1.84</v>
      </c>
      <c r="K403" s="638">
        <v>2.02</v>
      </c>
      <c r="L403" s="638">
        <v>2.48</v>
      </c>
      <c r="M403" s="602"/>
      <c r="N403" s="602"/>
      <c r="O403" s="602"/>
      <c r="P403" s="602"/>
      <c r="Q403" s="602"/>
      <c r="R403" s="602"/>
    </row>
    <row r="404" spans="1:18" ht="12" customHeight="1">
      <c r="A404" s="633"/>
      <c r="B404" s="636" t="s">
        <v>359</v>
      </c>
      <c r="C404" s="638">
        <v>23.9</v>
      </c>
      <c r="D404" s="638">
        <v>24.43</v>
      </c>
      <c r="E404" s="638">
        <v>20.75</v>
      </c>
      <c r="F404" s="638">
        <v>16.479999999999997</v>
      </c>
      <c r="G404" s="638">
        <v>13.34</v>
      </c>
      <c r="H404" s="638">
        <v>9.69</v>
      </c>
      <c r="I404" s="638">
        <v>8.93</v>
      </c>
      <c r="J404" s="638">
        <v>8.2199999999999989</v>
      </c>
      <c r="K404" s="638">
        <v>4.0599999999999996</v>
      </c>
      <c r="L404" s="638">
        <v>7.29</v>
      </c>
      <c r="M404" s="602"/>
      <c r="N404" s="602"/>
      <c r="O404" s="602"/>
      <c r="P404" s="602"/>
      <c r="Q404" s="602"/>
      <c r="R404" s="602"/>
    </row>
    <row r="405" spans="1:18" ht="12" customHeight="1">
      <c r="A405" s="633"/>
      <c r="B405" s="636" t="s">
        <v>360</v>
      </c>
      <c r="C405" s="638">
        <v>0.34</v>
      </c>
      <c r="D405" s="638">
        <v>0.35000000000000003</v>
      </c>
      <c r="E405" s="638">
        <v>0.28000000000000003</v>
      </c>
      <c r="F405" s="638">
        <v>0.21000000000000002</v>
      </c>
      <c r="G405" s="638">
        <v>0.16</v>
      </c>
      <c r="H405" s="638">
        <v>0.11</v>
      </c>
      <c r="I405" s="638">
        <v>0.1</v>
      </c>
      <c r="J405" s="638">
        <v>0.09</v>
      </c>
      <c r="K405" s="638">
        <v>0.04</v>
      </c>
      <c r="L405" s="638">
        <v>0.08</v>
      </c>
      <c r="M405" s="602"/>
      <c r="N405" s="602"/>
      <c r="O405" s="602"/>
      <c r="P405" s="602"/>
      <c r="Q405" s="602"/>
      <c r="R405" s="602"/>
    </row>
    <row r="406" spans="1:18" ht="12" customHeight="1">
      <c r="A406" s="633"/>
      <c r="B406" s="636" t="s">
        <v>361</v>
      </c>
      <c r="C406" s="638">
        <v>5455097</v>
      </c>
      <c r="D406" s="638">
        <v>5886637</v>
      </c>
      <c r="E406" s="638">
        <v>4714792</v>
      </c>
      <c r="F406" s="638">
        <v>4399459</v>
      </c>
      <c r="G406" s="638">
        <v>2565050</v>
      </c>
      <c r="H406" s="638">
        <v>2849112</v>
      </c>
      <c r="I406" s="638">
        <v>3938981</v>
      </c>
      <c r="J406" s="638">
        <v>1176954</v>
      </c>
      <c r="K406" s="638">
        <v>749968</v>
      </c>
      <c r="L406" s="638">
        <v>862739</v>
      </c>
      <c r="M406" s="602"/>
      <c r="N406" s="602"/>
      <c r="O406" s="602"/>
      <c r="P406" s="602"/>
      <c r="Q406" s="602"/>
      <c r="R406" s="602"/>
    </row>
    <row r="407" spans="1:18" ht="12" customHeight="1">
      <c r="A407" s="633"/>
      <c r="B407" s="636" t="s">
        <v>362</v>
      </c>
      <c r="C407" s="638">
        <v>2.16</v>
      </c>
      <c r="D407" s="638">
        <v>2.15</v>
      </c>
      <c r="E407" s="638">
        <v>2.38</v>
      </c>
      <c r="F407" s="638">
        <v>3.03</v>
      </c>
      <c r="G407" s="638">
        <v>3.1</v>
      </c>
      <c r="H407" s="638">
        <v>4.41</v>
      </c>
      <c r="I407" s="638">
        <v>6.2</v>
      </c>
      <c r="J407" s="638">
        <v>2.88</v>
      </c>
      <c r="K407" s="638">
        <v>4.4400000000000004</v>
      </c>
      <c r="L407" s="638">
        <v>2.7600000000000002</v>
      </c>
      <c r="M407" s="602"/>
      <c r="N407" s="602"/>
      <c r="O407" s="602"/>
      <c r="P407" s="602"/>
      <c r="Q407" s="602"/>
      <c r="R407" s="602"/>
    </row>
    <row r="408" spans="1:18" ht="12" customHeight="1">
      <c r="A408" s="633"/>
      <c r="B408" s="636" t="s">
        <v>363</v>
      </c>
      <c r="C408" s="638">
        <v>6.28</v>
      </c>
      <c r="D408" s="638">
        <v>4.17</v>
      </c>
      <c r="E408" s="638">
        <v>3.34</v>
      </c>
      <c r="F408" s="638">
        <v>3.05</v>
      </c>
      <c r="G408" s="638">
        <v>3.3699999999999997</v>
      </c>
      <c r="H408" s="638">
        <v>4.1599999999999993</v>
      </c>
      <c r="I408" s="638">
        <v>6.68</v>
      </c>
      <c r="J408" s="638">
        <v>1.86</v>
      </c>
      <c r="K408" s="638">
        <v>1.47</v>
      </c>
      <c r="L408" s="638">
        <v>1.98</v>
      </c>
      <c r="M408" s="602"/>
      <c r="N408" s="602"/>
      <c r="O408" s="602"/>
      <c r="P408" s="602"/>
      <c r="Q408" s="602"/>
      <c r="R408" s="602"/>
    </row>
    <row r="409" spans="1:18" ht="12" customHeight="1">
      <c r="A409" s="633"/>
      <c r="B409" s="634"/>
      <c r="C409" s="634"/>
      <c r="D409" s="634"/>
      <c r="E409" s="634"/>
      <c r="F409" s="634"/>
      <c r="G409" s="634"/>
      <c r="H409" s="634"/>
      <c r="I409" s="634"/>
      <c r="J409" s="634"/>
      <c r="K409" s="634"/>
      <c r="L409" s="634"/>
      <c r="M409" s="602"/>
      <c r="N409" s="602"/>
      <c r="O409" s="602"/>
      <c r="P409" s="602"/>
      <c r="Q409" s="602"/>
      <c r="R409" s="602"/>
    </row>
    <row r="410" spans="1:18" ht="12" customHeight="1">
      <c r="A410" s="640"/>
      <c r="B410" s="641" t="s">
        <v>364</v>
      </c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02"/>
      <c r="N410" s="602"/>
      <c r="O410" s="602"/>
      <c r="P410" s="602"/>
      <c r="Q410" s="602"/>
      <c r="R410" s="602"/>
    </row>
    <row r="411" spans="1:18" ht="12" customHeight="1">
      <c r="A411" s="633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02"/>
      <c r="N411" s="602"/>
      <c r="O411" s="602"/>
      <c r="P411" s="602"/>
      <c r="Q411" s="602"/>
      <c r="R411" s="602"/>
    </row>
    <row r="412" spans="1:18" ht="12" customHeight="1">
      <c r="A412" s="633"/>
      <c r="B412" s="636" t="s">
        <v>365</v>
      </c>
      <c r="C412" s="638">
        <v>1.1500000000000001</v>
      </c>
      <c r="D412" s="638">
        <v>1.1900000000000002</v>
      </c>
      <c r="E412" s="638">
        <v>1.27</v>
      </c>
      <c r="F412" s="638">
        <v>1.29</v>
      </c>
      <c r="G412" s="638">
        <v>1.1800000000000002</v>
      </c>
      <c r="H412" s="638">
        <v>1.42</v>
      </c>
      <c r="I412" s="638">
        <v>1.42</v>
      </c>
      <c r="J412" s="638">
        <v>1.6900000000000002</v>
      </c>
      <c r="K412" s="638">
        <v>1.8</v>
      </c>
      <c r="L412" s="638">
        <v>1.43</v>
      </c>
      <c r="M412" s="602"/>
      <c r="N412" s="602"/>
      <c r="O412" s="602"/>
      <c r="P412" s="602"/>
      <c r="Q412" s="602"/>
      <c r="R412" s="602"/>
    </row>
    <row r="413" spans="1:18" ht="12" customHeight="1">
      <c r="A413" s="633"/>
      <c r="B413" s="636" t="s">
        <v>366</v>
      </c>
      <c r="C413" s="638">
        <v>1.48</v>
      </c>
      <c r="D413" s="638">
        <v>1.47</v>
      </c>
      <c r="E413" s="638">
        <v>1.6</v>
      </c>
      <c r="F413" s="638">
        <v>1.51</v>
      </c>
      <c r="G413" s="638">
        <v>1.46</v>
      </c>
      <c r="H413" s="638">
        <v>1.94</v>
      </c>
      <c r="I413" s="638">
        <v>2</v>
      </c>
      <c r="J413" s="638">
        <v>2.79</v>
      </c>
      <c r="K413" s="638">
        <v>2.7600000000000002</v>
      </c>
      <c r="L413" s="638">
        <v>2.3299999999999996</v>
      </c>
      <c r="M413" s="602"/>
      <c r="N413" s="602"/>
      <c r="O413" s="602"/>
      <c r="P413" s="602"/>
      <c r="Q413" s="602"/>
      <c r="R413" s="602"/>
    </row>
    <row r="414" spans="1:18" ht="12" customHeight="1">
      <c r="A414" s="633"/>
      <c r="B414" s="636" t="s">
        <v>367</v>
      </c>
      <c r="C414" s="638">
        <v>16.399999999999999</v>
      </c>
      <c r="D414" s="638">
        <v>17.41</v>
      </c>
      <c r="E414" s="638">
        <v>16.690000000000001</v>
      </c>
      <c r="F414" s="638">
        <v>13.04</v>
      </c>
      <c r="G414" s="638">
        <v>22.23</v>
      </c>
      <c r="H414" s="638">
        <v>23.88</v>
      </c>
      <c r="I414" s="638">
        <v>21.71</v>
      </c>
      <c r="J414" s="638">
        <v>11.11</v>
      </c>
      <c r="K414" s="638">
        <v>9.2099999999999991</v>
      </c>
      <c r="L414" s="638">
        <v>12.61</v>
      </c>
      <c r="M414" s="602"/>
      <c r="N414" s="602"/>
      <c r="O414" s="602"/>
      <c r="P414" s="602"/>
      <c r="Q414" s="602"/>
      <c r="R414" s="602"/>
    </row>
    <row r="415" spans="1:18" ht="12" customHeight="1">
      <c r="A415" s="633"/>
      <c r="B415" s="636" t="s">
        <v>368</v>
      </c>
      <c r="C415" s="638">
        <v>76.149999999999991</v>
      </c>
      <c r="D415" s="638">
        <v>72.34</v>
      </c>
      <c r="E415" s="638">
        <v>72.940000000000012</v>
      </c>
      <c r="F415" s="638">
        <v>62.08</v>
      </c>
      <c r="G415" s="638">
        <v>74.460000000000008</v>
      </c>
      <c r="H415" s="638">
        <v>43.01</v>
      </c>
      <c r="I415" s="638">
        <v>33.290000000000006</v>
      </c>
      <c r="J415" s="638">
        <v>28.4</v>
      </c>
      <c r="K415" s="638">
        <v>25.7</v>
      </c>
      <c r="L415" s="638">
        <v>28.51</v>
      </c>
      <c r="M415" s="602"/>
      <c r="N415" s="602"/>
      <c r="O415" s="602"/>
      <c r="P415" s="602"/>
      <c r="Q415" s="602"/>
      <c r="R415" s="602"/>
    </row>
    <row r="416" spans="1:18" ht="12" customHeight="1">
      <c r="A416" s="633"/>
      <c r="B416" s="636" t="s">
        <v>369</v>
      </c>
      <c r="C416" s="638">
        <v>158.38000000000002</v>
      </c>
      <c r="D416" s="638">
        <v>156.96</v>
      </c>
      <c r="E416" s="638">
        <v>149.66</v>
      </c>
      <c r="F416" s="638">
        <v>130.88000000000002</v>
      </c>
      <c r="G416" s="638">
        <v>160.72999999999999</v>
      </c>
      <c r="H416" s="638">
        <v>89.9</v>
      </c>
      <c r="I416" s="638">
        <v>64.849999999999994</v>
      </c>
      <c r="J416" s="638">
        <v>54.42</v>
      </c>
      <c r="K416" s="638">
        <v>48.78</v>
      </c>
      <c r="L416" s="638">
        <v>51.33</v>
      </c>
      <c r="M416" s="602"/>
      <c r="N416" s="602"/>
      <c r="O416" s="602"/>
      <c r="P416" s="602"/>
      <c r="Q416" s="602"/>
      <c r="R416" s="602"/>
    </row>
    <row r="417" spans="1:18" ht="12" customHeight="1">
      <c r="A417" s="633"/>
      <c r="B417" s="636" t="s">
        <v>370</v>
      </c>
      <c r="C417" s="638">
        <v>22.1</v>
      </c>
      <c r="D417" s="638">
        <v>21.959999999999997</v>
      </c>
      <c r="E417" s="638">
        <v>34.479999999999997</v>
      </c>
      <c r="F417" s="638">
        <v>36.56</v>
      </c>
      <c r="G417" s="638">
        <v>47.1</v>
      </c>
      <c r="H417" s="638">
        <v>80.38</v>
      </c>
      <c r="I417" s="638">
        <v>91.73</v>
      </c>
      <c r="J417" s="638">
        <v>61.55</v>
      </c>
      <c r="K417" s="638">
        <v>58.43</v>
      </c>
      <c r="L417" s="638">
        <v>75.39</v>
      </c>
      <c r="M417" s="602"/>
      <c r="N417" s="602"/>
      <c r="O417" s="602"/>
      <c r="P417" s="602"/>
      <c r="Q417" s="602"/>
      <c r="R417" s="602"/>
    </row>
    <row r="418" spans="1:18" ht="12" customHeight="1">
      <c r="A418" s="633"/>
      <c r="B418" s="636" t="s">
        <v>371</v>
      </c>
      <c r="C418" s="638">
        <v>50.06</v>
      </c>
      <c r="D418" s="638">
        <v>41.690000000000005</v>
      </c>
      <c r="E418" s="638">
        <v>59.03</v>
      </c>
      <c r="F418" s="638">
        <v>69.410000000000011</v>
      </c>
      <c r="G418" s="638">
        <v>49.67</v>
      </c>
      <c r="H418" s="638">
        <v>44.65</v>
      </c>
      <c r="I418" s="638">
        <v>54.120000000000005</v>
      </c>
      <c r="J418" s="638">
        <v>58.849999999999994</v>
      </c>
      <c r="K418" s="638">
        <v>59.86</v>
      </c>
      <c r="L418" s="638">
        <v>67.290000000000006</v>
      </c>
      <c r="M418" s="602"/>
      <c r="N418" s="602"/>
      <c r="O418" s="602"/>
      <c r="P418" s="602"/>
      <c r="Q418" s="602"/>
      <c r="R418" s="602"/>
    </row>
    <row r="419" spans="1:18" ht="12" customHeight="1">
      <c r="A419" s="633"/>
      <c r="B419" s="636" t="s">
        <v>372</v>
      </c>
      <c r="C419" s="638">
        <v>130.42000000000002</v>
      </c>
      <c r="D419" s="638">
        <v>137.22999999999999</v>
      </c>
      <c r="E419" s="638">
        <v>125.11</v>
      </c>
      <c r="F419" s="638">
        <v>98.03</v>
      </c>
      <c r="G419" s="638">
        <v>158.16</v>
      </c>
      <c r="H419" s="638">
        <v>125.63</v>
      </c>
      <c r="I419" s="638">
        <v>102.46000000000001</v>
      </c>
      <c r="J419" s="638">
        <v>57.120000000000005</v>
      </c>
      <c r="K419" s="638">
        <v>47.339999999999996</v>
      </c>
      <c r="L419" s="638">
        <v>59.43</v>
      </c>
      <c r="M419" s="602"/>
      <c r="N419" s="602"/>
      <c r="O419" s="602"/>
      <c r="P419" s="602"/>
      <c r="Q419" s="602"/>
      <c r="R419" s="602"/>
    </row>
    <row r="420" spans="1:18" ht="12" customHeight="1">
      <c r="A420" s="633"/>
      <c r="B420" s="634"/>
      <c r="C420" s="634"/>
      <c r="D420" s="634"/>
      <c r="E420" s="634"/>
      <c r="F420" s="634"/>
      <c r="G420" s="634"/>
      <c r="H420" s="634"/>
      <c r="I420" s="634"/>
      <c r="J420" s="634"/>
      <c r="K420" s="634"/>
      <c r="L420" s="634"/>
      <c r="M420" s="602"/>
      <c r="N420" s="602"/>
      <c r="O420" s="602"/>
      <c r="P420" s="602"/>
      <c r="Q420" s="602"/>
      <c r="R420" s="602"/>
    </row>
    <row r="421" spans="1:18" ht="12" customHeight="1">
      <c r="A421" s="640"/>
      <c r="B421" s="641" t="s">
        <v>373</v>
      </c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02"/>
      <c r="N421" s="602"/>
      <c r="O421" s="602"/>
      <c r="P421" s="602"/>
      <c r="Q421" s="602"/>
      <c r="R421" s="602"/>
    </row>
    <row r="422" spans="1:18" ht="12" customHeight="1">
      <c r="A422" s="633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02"/>
      <c r="N422" s="602"/>
      <c r="O422" s="602"/>
      <c r="P422" s="602"/>
      <c r="Q422" s="602"/>
      <c r="R422" s="602"/>
    </row>
    <row r="423" spans="1:18" ht="12" customHeight="1">
      <c r="A423" s="633"/>
      <c r="B423" s="636" t="s">
        <v>374</v>
      </c>
      <c r="C423" s="637">
        <v>1062376</v>
      </c>
      <c r="D423" s="637">
        <v>1513067</v>
      </c>
      <c r="E423" s="637">
        <v>1608701</v>
      </c>
      <c r="F423" s="637">
        <v>1473280</v>
      </c>
      <c r="G423" s="637">
        <v>889518</v>
      </c>
      <c r="H423" s="637">
        <v>701754</v>
      </c>
      <c r="I423" s="637">
        <v>595594</v>
      </c>
      <c r="J423" s="637">
        <v>670640</v>
      </c>
      <c r="K423" s="637">
        <v>532113</v>
      </c>
      <c r="L423" s="637">
        <v>445108</v>
      </c>
      <c r="M423" s="602"/>
      <c r="N423" s="602"/>
      <c r="O423" s="602"/>
      <c r="P423" s="602"/>
      <c r="Q423" s="602"/>
      <c r="R423" s="602"/>
    </row>
    <row r="424" spans="1:18" ht="12" customHeight="1">
      <c r="A424" s="633"/>
      <c r="B424" s="636" t="s">
        <v>375</v>
      </c>
      <c r="C424" s="638">
        <v>6.9</v>
      </c>
      <c r="D424" s="638">
        <v>10.119999999999999</v>
      </c>
      <c r="E424" s="638">
        <v>11.12</v>
      </c>
      <c r="F424" s="638">
        <v>11.639999999999999</v>
      </c>
      <c r="G424" s="638">
        <v>9.6199999999999992</v>
      </c>
      <c r="H424" s="638">
        <v>6.64</v>
      </c>
      <c r="I424" s="638">
        <v>5.59</v>
      </c>
      <c r="J424" s="638">
        <v>7.24</v>
      </c>
      <c r="K424" s="638">
        <v>6.57</v>
      </c>
      <c r="L424" s="638">
        <v>6.83</v>
      </c>
      <c r="M424" s="602"/>
      <c r="N424" s="602"/>
      <c r="O424" s="602"/>
      <c r="P424" s="602"/>
      <c r="Q424" s="602"/>
      <c r="R424" s="602"/>
    </row>
    <row r="425" spans="1:18" ht="12" customHeight="1">
      <c r="A425" s="633"/>
      <c r="B425" s="636" t="s">
        <v>376</v>
      </c>
      <c r="C425" s="638">
        <v>4.24</v>
      </c>
      <c r="D425" s="638">
        <v>9.2299999999999986</v>
      </c>
      <c r="E425" s="638">
        <v>11.54</v>
      </c>
      <c r="F425" s="638">
        <v>9.89</v>
      </c>
      <c r="G425" s="638">
        <v>7.54</v>
      </c>
      <c r="H425" s="638">
        <v>4.5199999999999996</v>
      </c>
      <c r="I425" s="638">
        <v>6.75</v>
      </c>
      <c r="J425" s="638">
        <v>10.350000000000001</v>
      </c>
      <c r="K425" s="638">
        <v>10.119999999999999</v>
      </c>
      <c r="L425" s="638">
        <v>8.15</v>
      </c>
      <c r="M425" s="602"/>
      <c r="N425" s="602"/>
      <c r="O425" s="602"/>
      <c r="P425" s="602"/>
      <c r="Q425" s="602"/>
      <c r="R425" s="602"/>
    </row>
    <row r="426" spans="1:18" ht="12" customHeight="1">
      <c r="A426" s="633"/>
      <c r="B426" s="636" t="s">
        <v>377</v>
      </c>
      <c r="C426" s="638">
        <v>5.6099999999999994</v>
      </c>
      <c r="D426" s="638">
        <v>11.97</v>
      </c>
      <c r="E426" s="638">
        <v>16.45</v>
      </c>
      <c r="F426" s="638">
        <v>14.89</v>
      </c>
      <c r="G426" s="638">
        <v>10.38</v>
      </c>
      <c r="H426" s="638">
        <v>6.3199999999999994</v>
      </c>
      <c r="I426" s="638">
        <v>10.5</v>
      </c>
      <c r="J426" s="638">
        <v>17.100000000000001</v>
      </c>
      <c r="K426" s="638">
        <v>16.45</v>
      </c>
      <c r="L426" s="638">
        <v>11.58</v>
      </c>
      <c r="M426" s="602"/>
      <c r="N426" s="602"/>
      <c r="O426" s="602"/>
      <c r="P426" s="602"/>
      <c r="Q426" s="602"/>
      <c r="R426" s="602"/>
    </row>
    <row r="427" spans="1:18" ht="12" customHeight="1">
      <c r="A427" s="633"/>
      <c r="B427" s="636" t="s">
        <v>378</v>
      </c>
      <c r="C427" s="638">
        <v>3.56</v>
      </c>
      <c r="D427" s="638">
        <v>7.4</v>
      </c>
      <c r="E427" s="638">
        <v>8.68</v>
      </c>
      <c r="F427" s="638">
        <v>7.02</v>
      </c>
      <c r="G427" s="638">
        <v>5.92</v>
      </c>
      <c r="H427" s="638">
        <v>2.92</v>
      </c>
      <c r="I427" s="638">
        <v>4.5599999999999996</v>
      </c>
      <c r="J427" s="638">
        <v>5.89</v>
      </c>
      <c r="K427" s="638">
        <v>5.4300000000000006</v>
      </c>
      <c r="L427" s="638">
        <v>5.49</v>
      </c>
      <c r="M427" s="602"/>
      <c r="N427" s="602"/>
      <c r="O427" s="602"/>
      <c r="P427" s="602"/>
      <c r="Q427" s="602"/>
      <c r="R427" s="602"/>
    </row>
    <row r="428" spans="1:18" ht="12" customHeight="1">
      <c r="A428" s="633"/>
      <c r="B428" s="636" t="s">
        <v>379</v>
      </c>
      <c r="C428" s="638">
        <v>5.18</v>
      </c>
      <c r="D428" s="638">
        <v>22.95</v>
      </c>
      <c r="E428" s="638">
        <v>34.409999999999997</v>
      </c>
      <c r="F428" s="638">
        <v>34.700000000000003</v>
      </c>
      <c r="G428" s="638">
        <v>31.52</v>
      </c>
      <c r="H428" s="638">
        <v>2.98</v>
      </c>
      <c r="I428" s="638">
        <v>32.6</v>
      </c>
      <c r="J428" s="638">
        <v>59.309999999999995</v>
      </c>
      <c r="K428" s="638">
        <v>93.19</v>
      </c>
      <c r="L428" s="638">
        <v>38.760000000000005</v>
      </c>
      <c r="M428" s="602"/>
      <c r="N428" s="602"/>
      <c r="O428" s="602"/>
      <c r="P428" s="602"/>
      <c r="Q428" s="602"/>
      <c r="R428" s="602"/>
    </row>
    <row r="429" spans="1:18" ht="12" customHeight="1">
      <c r="A429" s="633"/>
      <c r="B429" s="636" t="s">
        <v>380</v>
      </c>
      <c r="C429" s="638">
        <v>29.2</v>
      </c>
      <c r="D429" s="638">
        <v>60.760000000000005</v>
      </c>
      <c r="E429" s="638">
        <v>61.86</v>
      </c>
      <c r="F429" s="638">
        <v>57.790000000000006</v>
      </c>
      <c r="G429" s="638">
        <v>55.730000000000004</v>
      </c>
      <c r="H429" s="638">
        <v>6.38</v>
      </c>
      <c r="I429" s="638">
        <v>43.14</v>
      </c>
      <c r="J429" s="638">
        <v>47.1</v>
      </c>
      <c r="K429" s="638">
        <v>37.369999999999997</v>
      </c>
      <c r="L429" s="638">
        <v>34.690000000000005</v>
      </c>
      <c r="M429" s="602"/>
      <c r="N429" s="602"/>
      <c r="O429" s="602"/>
      <c r="P429" s="602"/>
      <c r="Q429" s="602"/>
      <c r="R429" s="602"/>
    </row>
    <row r="430" spans="1:18" ht="12" customHeight="1">
      <c r="A430" s="633"/>
      <c r="B430" s="634"/>
      <c r="C430" s="634"/>
      <c r="D430" s="634"/>
      <c r="E430" s="634"/>
      <c r="F430" s="634"/>
      <c r="G430" s="634"/>
      <c r="H430" s="634"/>
      <c r="I430" s="634"/>
      <c r="J430" s="634"/>
      <c r="K430" s="634"/>
      <c r="L430" s="634"/>
      <c r="M430" s="602"/>
      <c r="N430" s="602"/>
      <c r="O430" s="602"/>
      <c r="P430" s="602"/>
      <c r="Q430" s="602"/>
      <c r="R430" s="602"/>
    </row>
    <row r="431" spans="1:18" ht="12" customHeight="1">
      <c r="A431" s="640"/>
      <c r="B431" s="641" t="s">
        <v>381</v>
      </c>
      <c r="C431" s="642"/>
      <c r="D431" s="642"/>
      <c r="E431" s="642"/>
      <c r="F431" s="642"/>
      <c r="G431" s="642"/>
      <c r="H431" s="642"/>
      <c r="I431" s="642"/>
      <c r="J431" s="642"/>
      <c r="K431" s="642"/>
      <c r="L431" s="642"/>
      <c r="M431" s="602"/>
      <c r="N431" s="602"/>
      <c r="O431" s="602"/>
      <c r="P431" s="602"/>
      <c r="Q431" s="602"/>
      <c r="R431" s="602"/>
    </row>
    <row r="432" spans="1:18" ht="12" customHeight="1">
      <c r="A432" s="633"/>
      <c r="B432" s="634"/>
      <c r="C432" s="634"/>
      <c r="D432" s="634"/>
      <c r="E432" s="634"/>
      <c r="F432" s="634"/>
      <c r="G432" s="634"/>
      <c r="H432" s="634"/>
      <c r="I432" s="634"/>
      <c r="J432" s="634"/>
      <c r="K432" s="634"/>
      <c r="L432" s="634"/>
      <c r="M432" s="602"/>
      <c r="N432" s="602"/>
      <c r="O432" s="602"/>
      <c r="P432" s="602"/>
      <c r="Q432" s="602"/>
      <c r="R432" s="602"/>
    </row>
    <row r="433" spans="1:18" ht="12" customHeight="1">
      <c r="A433" s="633"/>
      <c r="B433" s="636" t="s">
        <v>382</v>
      </c>
      <c r="C433" s="639">
        <v>52</v>
      </c>
      <c r="D433" s="639">
        <v>48</v>
      </c>
      <c r="E433" s="639">
        <v>42</v>
      </c>
      <c r="F433" s="639">
        <v>40</v>
      </c>
      <c r="G433" s="639">
        <v>38</v>
      </c>
      <c r="H433" s="639">
        <v>36</v>
      </c>
      <c r="I433" s="639">
        <v>25</v>
      </c>
      <c r="J433" s="639">
        <v>19</v>
      </c>
      <c r="K433" s="639">
        <v>15</v>
      </c>
      <c r="L433" s="639">
        <v>15</v>
      </c>
      <c r="M433" s="602"/>
      <c r="N433" s="602"/>
      <c r="O433" s="602"/>
      <c r="P433" s="602"/>
      <c r="Q433" s="602"/>
      <c r="R433" s="602"/>
    </row>
    <row r="434" spans="1:18" ht="12" customHeight="1">
      <c r="A434" s="633"/>
      <c r="B434" s="636" t="s">
        <v>383</v>
      </c>
      <c r="C434" s="639">
        <v>296280</v>
      </c>
      <c r="D434" s="639">
        <v>311460</v>
      </c>
      <c r="E434" s="639">
        <v>344600</v>
      </c>
      <c r="F434" s="639">
        <v>316520</v>
      </c>
      <c r="G434" s="639">
        <v>243200</v>
      </c>
      <c r="H434" s="639">
        <v>293350</v>
      </c>
      <c r="I434" s="639">
        <v>426370</v>
      </c>
      <c r="J434" s="639">
        <v>487500</v>
      </c>
      <c r="K434" s="639">
        <v>539690</v>
      </c>
      <c r="L434" s="639">
        <v>434330</v>
      </c>
      <c r="M434" s="602"/>
      <c r="N434" s="602"/>
      <c r="O434" s="602"/>
      <c r="P434" s="602"/>
      <c r="Q434" s="602"/>
      <c r="R434" s="602"/>
    </row>
    <row r="435" spans="1:18" ht="12" customHeight="1">
      <c r="A435" s="633"/>
      <c r="B435" s="636" t="s">
        <v>384</v>
      </c>
      <c r="C435" s="639">
        <v>72240</v>
      </c>
      <c r="D435" s="639">
        <v>82610</v>
      </c>
      <c r="E435" s="639">
        <v>90300</v>
      </c>
      <c r="F435" s="639">
        <v>90040</v>
      </c>
      <c r="G435" s="639">
        <v>61640</v>
      </c>
      <c r="H435" s="639">
        <v>62730</v>
      </c>
      <c r="I435" s="639">
        <v>74260</v>
      </c>
      <c r="J435" s="639">
        <v>83510</v>
      </c>
      <c r="K435" s="639">
        <v>86820</v>
      </c>
      <c r="L435" s="639">
        <v>67150</v>
      </c>
      <c r="M435" s="602"/>
      <c r="N435" s="602"/>
      <c r="O435" s="602"/>
      <c r="P435" s="602"/>
      <c r="Q435" s="602"/>
      <c r="R435" s="602"/>
    </row>
    <row r="436" spans="1:18" ht="12" customHeight="1">
      <c r="A436" s="633"/>
      <c r="B436" s="636" t="s">
        <v>385</v>
      </c>
      <c r="C436" s="638">
        <v>51810</v>
      </c>
      <c r="D436" s="638">
        <v>51090</v>
      </c>
      <c r="E436" s="638">
        <v>51990</v>
      </c>
      <c r="F436" s="638">
        <v>53200</v>
      </c>
      <c r="G436" s="638">
        <v>38230</v>
      </c>
      <c r="H436" s="638">
        <v>43240</v>
      </c>
      <c r="I436" s="638">
        <v>50440</v>
      </c>
      <c r="J436" s="638">
        <v>48220</v>
      </c>
      <c r="K436" s="638">
        <v>51350</v>
      </c>
      <c r="L436" s="638">
        <v>37480</v>
      </c>
      <c r="M436" s="602"/>
      <c r="N436" s="602"/>
      <c r="O436" s="602"/>
      <c r="P436" s="602"/>
      <c r="Q436" s="602"/>
      <c r="R436" s="602"/>
    </row>
    <row r="437" spans="1:18" ht="12" customHeight="1">
      <c r="A437" s="633"/>
      <c r="B437" s="636" t="s">
        <v>386</v>
      </c>
      <c r="C437" s="638">
        <v>5.72</v>
      </c>
      <c r="D437" s="638">
        <v>6.1</v>
      </c>
      <c r="E437" s="638">
        <v>6.63</v>
      </c>
      <c r="F437" s="638">
        <v>5.95</v>
      </c>
      <c r="G437" s="638">
        <v>6.3599999999999994</v>
      </c>
      <c r="H437" s="638">
        <v>6.78</v>
      </c>
      <c r="I437" s="638">
        <v>8.4500000000000011</v>
      </c>
      <c r="J437" s="638">
        <v>10.11</v>
      </c>
      <c r="K437" s="638">
        <v>10.51</v>
      </c>
      <c r="L437" s="638">
        <v>11.59</v>
      </c>
      <c r="M437" s="602"/>
      <c r="N437" s="602"/>
      <c r="O437" s="602"/>
      <c r="P437" s="602"/>
      <c r="Q437" s="602"/>
      <c r="R437" s="602"/>
    </row>
    <row r="438" spans="1:18" ht="12" customHeight="1">
      <c r="A438" s="633"/>
      <c r="B438" s="634"/>
      <c r="C438" s="634"/>
      <c r="D438" s="634"/>
      <c r="E438" s="634"/>
      <c r="F438" s="634"/>
      <c r="G438" s="634"/>
      <c r="H438" s="634"/>
      <c r="I438" s="634"/>
      <c r="J438" s="634"/>
      <c r="K438" s="634"/>
      <c r="L438" s="634"/>
      <c r="M438" s="602"/>
      <c r="N438" s="602"/>
      <c r="O438" s="602"/>
      <c r="P438" s="602"/>
      <c r="Q438" s="602"/>
      <c r="R438" s="602"/>
    </row>
    <row r="439" spans="1:18" ht="12" customHeight="1">
      <c r="A439" s="640"/>
      <c r="B439" s="641" t="s">
        <v>387</v>
      </c>
      <c r="C439" s="642"/>
      <c r="D439" s="642"/>
      <c r="E439" s="642"/>
      <c r="F439" s="642"/>
      <c r="G439" s="642"/>
      <c r="H439" s="642"/>
      <c r="I439" s="642"/>
      <c r="J439" s="642"/>
      <c r="K439" s="642"/>
      <c r="L439" s="642"/>
      <c r="M439" s="602"/>
      <c r="N439" s="602"/>
      <c r="O439" s="602"/>
      <c r="P439" s="602"/>
      <c r="Q439" s="602"/>
      <c r="R439" s="602"/>
    </row>
    <row r="440" spans="1:18" ht="12" customHeight="1">
      <c r="A440" s="633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02"/>
      <c r="N440" s="602"/>
      <c r="O440" s="602"/>
      <c r="P440" s="602"/>
      <c r="Q440" s="602"/>
      <c r="R440" s="602"/>
    </row>
    <row r="441" spans="1:18" ht="12" customHeight="1">
      <c r="A441" s="633"/>
      <c r="B441" s="636" t="s">
        <v>388</v>
      </c>
      <c r="C441" s="637">
        <v>5753643</v>
      </c>
      <c r="D441" s="637">
        <v>5531019</v>
      </c>
      <c r="E441" s="637">
        <v>5111968</v>
      </c>
      <c r="F441" s="637">
        <v>3986187</v>
      </c>
      <c r="G441" s="637">
        <v>3854148</v>
      </c>
      <c r="H441" s="637">
        <v>2469374</v>
      </c>
      <c r="I441" s="637">
        <v>1608138</v>
      </c>
      <c r="J441" s="637">
        <v>1064864</v>
      </c>
      <c r="K441" s="637">
        <v>729010</v>
      </c>
      <c r="L441" s="637">
        <v>949547</v>
      </c>
      <c r="M441" s="602"/>
      <c r="N441" s="602"/>
      <c r="O441" s="602"/>
      <c r="P441" s="602"/>
      <c r="Q441" s="602"/>
      <c r="R441" s="602"/>
    </row>
    <row r="442" spans="1:18" ht="12" customHeight="1">
      <c r="A442" s="633"/>
      <c r="B442" s="636" t="s">
        <v>389</v>
      </c>
      <c r="C442" s="637">
        <v>7477562</v>
      </c>
      <c r="D442" s="637">
        <v>7404286</v>
      </c>
      <c r="E442" s="637">
        <v>6728202</v>
      </c>
      <c r="F442" s="637">
        <v>5613726</v>
      </c>
      <c r="G442" s="637">
        <v>4271571</v>
      </c>
      <c r="H442" s="637">
        <v>4660352</v>
      </c>
      <c r="I442" s="637">
        <v>4749844</v>
      </c>
      <c r="J442" s="637">
        <v>4077965</v>
      </c>
      <c r="K442" s="637">
        <v>3541895</v>
      </c>
      <c r="L442" s="637">
        <v>2669377</v>
      </c>
      <c r="M442" s="602"/>
      <c r="N442" s="602"/>
      <c r="O442" s="602"/>
      <c r="P442" s="602"/>
      <c r="Q442" s="602"/>
      <c r="R442" s="602"/>
    </row>
    <row r="443" spans="1:18" ht="12" customHeight="1">
      <c r="A443" s="633"/>
      <c r="B443" s="636" t="s">
        <v>390</v>
      </c>
      <c r="C443" s="637">
        <v>-1896403</v>
      </c>
      <c r="D443" s="637">
        <v>-2473254</v>
      </c>
      <c r="E443" s="637">
        <v>-937553</v>
      </c>
      <c r="F443" s="637">
        <v>-1468917</v>
      </c>
      <c r="G443" s="637">
        <v>-117788</v>
      </c>
      <c r="H443" s="637">
        <v>152817</v>
      </c>
      <c r="I443" s="637">
        <v>-287495</v>
      </c>
      <c r="J443" s="637">
        <v>-275328</v>
      </c>
      <c r="K443" s="637">
        <v>-439462</v>
      </c>
      <c r="L443" s="637">
        <v>-118915</v>
      </c>
      <c r="M443" s="602"/>
      <c r="N443" s="602"/>
      <c r="O443" s="602"/>
      <c r="P443" s="602"/>
      <c r="Q443" s="602"/>
      <c r="R443" s="602"/>
    </row>
    <row r="444" spans="1:18" ht="12" customHeight="1">
      <c r="A444" s="633"/>
      <c r="B444" s="636" t="s">
        <v>391</v>
      </c>
      <c r="C444" s="637">
        <v>932197</v>
      </c>
      <c r="D444" s="637">
        <v>1332612</v>
      </c>
      <c r="E444" s="637">
        <v>724419</v>
      </c>
      <c r="F444" s="637">
        <v>644115</v>
      </c>
      <c r="G444" s="637">
        <v>403882</v>
      </c>
      <c r="H444" s="637">
        <v>84438</v>
      </c>
      <c r="I444" s="637">
        <v>-50109</v>
      </c>
      <c r="J444" s="637">
        <v>-211238</v>
      </c>
      <c r="K444" s="637">
        <v>-100170</v>
      </c>
      <c r="L444" s="637">
        <v>16484</v>
      </c>
      <c r="M444" s="602"/>
      <c r="N444" s="602"/>
      <c r="O444" s="602"/>
      <c r="P444" s="602"/>
      <c r="Q444" s="602"/>
      <c r="R444" s="602"/>
    </row>
    <row r="445" spans="1:18" ht="12" customHeight="1">
      <c r="A445" s="633"/>
      <c r="B445" s="636" t="s">
        <v>392</v>
      </c>
      <c r="C445" s="638">
        <v>674435</v>
      </c>
      <c r="D445" s="638">
        <v>1078947</v>
      </c>
      <c r="E445" s="638">
        <v>1129749</v>
      </c>
      <c r="F445" s="638">
        <v>1098042</v>
      </c>
      <c r="G445" s="638">
        <v>647402</v>
      </c>
      <c r="H445" s="638">
        <v>412803</v>
      </c>
      <c r="I445" s="638">
        <v>319499</v>
      </c>
      <c r="J445" s="638">
        <v>382248</v>
      </c>
      <c r="K445" s="638">
        <v>257013</v>
      </c>
      <c r="L445" s="638">
        <v>211370</v>
      </c>
      <c r="M445" s="602"/>
      <c r="N445" s="602"/>
      <c r="O445" s="602"/>
      <c r="P445" s="602"/>
      <c r="Q445" s="602"/>
      <c r="R445" s="602"/>
    </row>
    <row r="446" spans="1:18" ht="12" customHeight="1">
      <c r="A446" s="633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02"/>
      <c r="N446" s="602"/>
      <c r="O446" s="602"/>
      <c r="P446" s="602"/>
      <c r="Q446" s="602"/>
      <c r="R446" s="602"/>
    </row>
    <row r="447" spans="1:18" ht="12" customHeight="1">
      <c r="A447" s="609"/>
      <c r="B447" s="601"/>
      <c r="C447" s="601"/>
      <c r="D447" s="601"/>
      <c r="E447" s="601"/>
      <c r="F447" s="601"/>
      <c r="G447" s="601"/>
      <c r="H447" s="601"/>
      <c r="I447" s="601"/>
      <c r="J447" s="601"/>
      <c r="K447" s="602"/>
      <c r="L447" s="602"/>
      <c r="M447" s="602"/>
      <c r="N447" s="602"/>
      <c r="O447" s="602"/>
      <c r="P447" s="602"/>
      <c r="Q447" s="602"/>
      <c r="R447" s="602"/>
    </row>
    <row r="448" spans="1:18" ht="15.75" customHeight="1">
      <c r="A448" s="614" t="s">
        <v>393</v>
      </c>
      <c r="B448" s="615"/>
      <c r="C448" s="615"/>
      <c r="D448" s="615"/>
      <c r="E448" s="615"/>
      <c r="F448" s="615"/>
      <c r="G448" s="615"/>
      <c r="H448" s="615"/>
      <c r="I448" s="615"/>
      <c r="J448" s="615"/>
      <c r="K448" s="602"/>
      <c r="L448" s="602"/>
      <c r="M448" s="602"/>
      <c r="N448" s="602"/>
      <c r="O448" s="602"/>
      <c r="P448" s="602"/>
      <c r="Q448" s="602"/>
      <c r="R448" s="602"/>
    </row>
    <row r="449" spans="1:18" ht="12" customHeight="1">
      <c r="A449" s="609"/>
      <c r="B449" s="601"/>
      <c r="C449" s="601"/>
      <c r="D449" s="601"/>
      <c r="E449" s="601"/>
      <c r="F449" s="601"/>
      <c r="G449" s="601"/>
      <c r="H449" s="601"/>
      <c r="I449" s="601"/>
      <c r="J449" s="601"/>
      <c r="K449" s="602"/>
      <c r="L449" s="602"/>
      <c r="M449" s="602"/>
      <c r="N449" s="602"/>
      <c r="O449" s="602"/>
      <c r="P449" s="602"/>
      <c r="Q449" s="602"/>
      <c r="R449" s="602"/>
    </row>
    <row r="450" spans="1:18" ht="12" customHeight="1">
      <c r="A450" s="609"/>
      <c r="B450" s="601"/>
      <c r="C450" s="601"/>
      <c r="D450" s="601"/>
      <c r="E450" s="602"/>
      <c r="F450" s="602"/>
      <c r="G450" s="602"/>
      <c r="H450" s="602"/>
      <c r="I450" s="602"/>
      <c r="J450" s="602"/>
      <c r="K450" s="602"/>
      <c r="L450" s="602"/>
      <c r="M450" s="602"/>
      <c r="N450" s="602"/>
      <c r="O450" s="602"/>
      <c r="P450" s="602"/>
      <c r="Q450" s="602"/>
      <c r="R450" s="602"/>
    </row>
    <row r="451" spans="1:18" ht="12" customHeight="1">
      <c r="A451" s="624" t="s">
        <v>394</v>
      </c>
      <c r="B451" s="601"/>
      <c r="C451" s="601"/>
      <c r="D451" s="601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</row>
    <row r="452" spans="1:18" ht="12" customHeight="1">
      <c r="A452" s="609"/>
      <c r="B452" s="601"/>
      <c r="C452" s="601"/>
      <c r="D452" s="601"/>
      <c r="E452" s="602"/>
      <c r="F452" s="602"/>
      <c r="G452" s="602"/>
      <c r="H452" s="602"/>
      <c r="I452" s="602"/>
      <c r="J452" s="602"/>
      <c r="K452" s="602"/>
      <c r="L452" s="602"/>
      <c r="M452" s="602"/>
      <c r="N452" s="602"/>
      <c r="O452" s="602"/>
      <c r="P452" s="602"/>
      <c r="Q452" s="602"/>
      <c r="R452" s="602"/>
    </row>
    <row r="453" spans="1:18" ht="12" customHeight="1">
      <c r="A453" s="599"/>
      <c r="B453" s="602"/>
      <c r="C453" s="602"/>
      <c r="D453" s="602"/>
      <c r="E453" s="602"/>
      <c r="F453" s="602"/>
      <c r="G453" s="602"/>
      <c r="H453" s="602"/>
      <c r="I453" s="602"/>
      <c r="J453" s="602"/>
      <c r="K453" s="602"/>
      <c r="L453" s="602"/>
      <c r="M453" s="602"/>
      <c r="N453" s="602"/>
      <c r="O453" s="602"/>
      <c r="P453" s="602"/>
      <c r="Q453" s="602"/>
      <c r="R453" s="602"/>
    </row>
    <row r="454" spans="1:18" ht="15.75" customHeight="1">
      <c r="A454" s="614" t="s">
        <v>395</v>
      </c>
      <c r="B454" s="615"/>
      <c r="C454" s="602"/>
      <c r="D454" s="602"/>
      <c r="E454" s="602"/>
      <c r="F454" s="602"/>
      <c r="G454" s="602"/>
      <c r="H454" s="602"/>
      <c r="I454" s="602"/>
      <c r="J454" s="602"/>
      <c r="K454" s="602"/>
      <c r="L454" s="602"/>
      <c r="M454" s="602"/>
      <c r="N454" s="602"/>
      <c r="O454" s="602"/>
      <c r="P454" s="602"/>
      <c r="Q454" s="602"/>
      <c r="R454" s="602"/>
    </row>
    <row r="455" spans="1:18" ht="12" customHeight="1">
      <c r="A455" s="599"/>
      <c r="B455" s="602"/>
      <c r="C455" s="602"/>
      <c r="D455" s="602"/>
      <c r="E455" s="602"/>
      <c r="F455" s="602"/>
      <c r="G455" s="602"/>
      <c r="H455" s="602"/>
      <c r="I455" s="602"/>
      <c r="J455" s="602"/>
      <c r="K455" s="602"/>
      <c r="L455" s="602"/>
      <c r="M455" s="602"/>
      <c r="N455" s="602"/>
      <c r="O455" s="602"/>
      <c r="P455" s="602"/>
      <c r="Q455" s="602"/>
      <c r="R455" s="602"/>
    </row>
    <row r="456" spans="1:18" ht="12" customHeight="1">
      <c r="A456" s="609"/>
      <c r="B456" s="601"/>
      <c r="C456" s="601"/>
      <c r="D456" s="601"/>
      <c r="E456" s="602"/>
      <c r="F456" s="602"/>
      <c r="G456" s="602"/>
      <c r="H456" s="602"/>
      <c r="I456" s="602"/>
      <c r="J456" s="602"/>
      <c r="K456" s="602"/>
      <c r="L456" s="602"/>
      <c r="M456" s="602"/>
      <c r="N456" s="602"/>
      <c r="O456" s="602"/>
      <c r="P456" s="602"/>
      <c r="Q456" s="602"/>
      <c r="R456" s="602"/>
    </row>
    <row r="457" spans="1:18" ht="12" customHeight="1">
      <c r="A457" s="624" t="s">
        <v>396</v>
      </c>
      <c r="B457" s="601"/>
      <c r="C457" s="601"/>
      <c r="D457" s="601"/>
      <c r="E457" s="602"/>
      <c r="F457" s="602"/>
      <c r="G457" s="602"/>
      <c r="H457" s="602"/>
      <c r="I457" s="602"/>
      <c r="J457" s="602"/>
      <c r="K457" s="602"/>
      <c r="L457" s="602"/>
      <c r="M457" s="602"/>
      <c r="N457" s="602"/>
      <c r="O457" s="602"/>
      <c r="P457" s="602"/>
      <c r="Q457" s="602"/>
      <c r="R457" s="602"/>
    </row>
    <row r="458" spans="1:18" ht="12" customHeight="1">
      <c r="A458" s="609"/>
      <c r="B458" s="601"/>
      <c r="C458" s="601"/>
      <c r="D458" s="601"/>
      <c r="E458" s="602"/>
      <c r="F458" s="602"/>
      <c r="G458" s="602"/>
      <c r="H458" s="602"/>
      <c r="I458" s="602"/>
      <c r="J458" s="602"/>
      <c r="K458" s="602"/>
      <c r="L458" s="602"/>
      <c r="M458" s="602"/>
      <c r="N458" s="602"/>
      <c r="O458" s="602"/>
      <c r="P458" s="602"/>
      <c r="Q458" s="602"/>
      <c r="R458" s="602"/>
    </row>
    <row r="459" spans="1:18" ht="12" customHeight="1">
      <c r="A459" s="609"/>
      <c r="B459" s="601"/>
      <c r="C459" s="601"/>
      <c r="D459" s="601"/>
      <c r="E459" s="601"/>
      <c r="F459" s="601"/>
      <c r="G459" s="601"/>
      <c r="H459" s="601"/>
      <c r="I459" s="601"/>
      <c r="J459" s="601"/>
      <c r="K459" s="602"/>
      <c r="L459" s="602"/>
      <c r="M459" s="602"/>
      <c r="N459" s="602"/>
      <c r="O459" s="602"/>
      <c r="P459" s="602"/>
      <c r="Q459" s="602"/>
      <c r="R459" s="602"/>
    </row>
    <row r="460" spans="1:18" ht="15.75" customHeight="1">
      <c r="A460" s="614" t="s">
        <v>397</v>
      </c>
      <c r="B460" s="615"/>
      <c r="C460" s="615"/>
      <c r="D460" s="615"/>
      <c r="E460" s="615"/>
      <c r="F460" s="615"/>
      <c r="G460" s="615"/>
      <c r="H460" s="615"/>
      <c r="I460" s="615"/>
      <c r="J460" s="615"/>
      <c r="K460" s="602"/>
      <c r="L460" s="602"/>
      <c r="M460" s="602"/>
      <c r="N460" s="602"/>
      <c r="O460" s="602"/>
      <c r="P460" s="602"/>
      <c r="Q460" s="602"/>
      <c r="R460" s="602"/>
    </row>
    <row r="461" spans="1:18" ht="12" customHeight="1">
      <c r="A461" s="609"/>
      <c r="B461" s="601"/>
      <c r="C461" s="601"/>
      <c r="D461" s="601"/>
      <c r="E461" s="601"/>
      <c r="F461" s="601"/>
      <c r="G461" s="601"/>
      <c r="H461" s="601"/>
      <c r="I461" s="601"/>
      <c r="J461" s="601"/>
      <c r="K461" s="602"/>
      <c r="L461" s="602"/>
      <c r="M461" s="602"/>
      <c r="N461" s="602"/>
      <c r="O461" s="602"/>
      <c r="P461" s="602"/>
      <c r="Q461" s="602"/>
      <c r="R461" s="602"/>
    </row>
    <row r="462" spans="1:18" ht="12" customHeight="1">
      <c r="A462" s="616" t="s">
        <v>398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2"/>
      <c r="L462" s="602"/>
      <c r="M462" s="602"/>
      <c r="N462" s="602"/>
      <c r="O462" s="602"/>
      <c r="P462" s="602"/>
      <c r="Q462" s="602"/>
      <c r="R462" s="602"/>
    </row>
    <row r="463" spans="1:18" ht="12" customHeight="1">
      <c r="A463" s="599"/>
      <c r="B463" s="648" t="s">
        <v>399</v>
      </c>
      <c r="C463" s="602"/>
      <c r="D463" s="602"/>
      <c r="E463" s="602"/>
      <c r="F463" s="602"/>
      <c r="G463" s="602"/>
      <c r="H463" s="602"/>
      <c r="I463" s="602"/>
      <c r="J463" s="602"/>
      <c r="K463" s="602"/>
      <c r="L463" s="602"/>
      <c r="M463" s="602"/>
      <c r="N463" s="602"/>
      <c r="O463" s="602"/>
      <c r="P463" s="602"/>
      <c r="Q463" s="602"/>
      <c r="R463" s="602"/>
    </row>
    <row r="464" spans="1:18" ht="12" customHeight="1">
      <c r="A464" s="649"/>
      <c r="B464" s="601"/>
      <c r="C464" s="602"/>
      <c r="D464" s="602"/>
      <c r="E464" s="602"/>
      <c r="F464" s="602"/>
      <c r="G464" s="602"/>
      <c r="H464" s="602"/>
      <c r="I464" s="602"/>
      <c r="J464" s="602"/>
      <c r="K464" s="602"/>
      <c r="L464" s="602"/>
      <c r="M464" s="602"/>
      <c r="N464" s="602"/>
      <c r="O464" s="602"/>
      <c r="P464" s="602"/>
      <c r="Q464" s="602"/>
      <c r="R464" s="602"/>
    </row>
    <row r="465" spans="1:18" ht="15.75" customHeight="1">
      <c r="A465" s="609"/>
      <c r="B465" s="601"/>
      <c r="C465" s="601"/>
      <c r="D465" s="601"/>
      <c r="E465" s="601"/>
      <c r="F465" s="601"/>
      <c r="G465" s="601"/>
      <c r="H465" s="601"/>
      <c r="I465" s="601"/>
      <c r="J465" s="601"/>
      <c r="K465" s="602"/>
      <c r="L465" s="602"/>
      <c r="M465" s="602"/>
      <c r="N465" s="602"/>
      <c r="O465" s="602"/>
      <c r="P465" s="602"/>
      <c r="Q465" s="602"/>
      <c r="R465" s="602"/>
    </row>
    <row r="466" spans="1:18" ht="12" customHeight="1">
      <c r="A466" s="650"/>
      <c r="B466" s="650"/>
      <c r="C466" s="650"/>
      <c r="D466" s="650"/>
      <c r="E466" s="650"/>
      <c r="F466" s="650"/>
      <c r="G466" s="650"/>
      <c r="H466" s="650"/>
      <c r="I466" s="650"/>
      <c r="J466" s="651" t="s">
        <v>63</v>
      </c>
      <c r="K466" s="652" t="s">
        <v>400</v>
      </c>
      <c r="L466" s="601"/>
      <c r="M466" s="653" t="s">
        <v>401</v>
      </c>
      <c r="N466" s="653" t="s">
        <v>402</v>
      </c>
      <c r="O466" s="650"/>
      <c r="P466" s="650"/>
      <c r="Q466" s="650"/>
      <c r="R466" s="602"/>
    </row>
    <row r="467" spans="1:18" ht="12" customHeight="1">
      <c r="A467" s="609"/>
      <c r="B467" s="654"/>
      <c r="C467" s="655" t="s">
        <v>403</v>
      </c>
      <c r="D467" s="654"/>
      <c r="E467" s="656"/>
      <c r="F467" s="656"/>
      <c r="G467" s="656"/>
      <c r="H467" s="656"/>
      <c r="I467" s="656"/>
      <c r="J467" s="657" t="s">
        <v>404</v>
      </c>
      <c r="K467" s="658" t="s">
        <v>405</v>
      </c>
      <c r="L467" s="658" t="s">
        <v>406</v>
      </c>
      <c r="M467" s="658" t="s">
        <v>407</v>
      </c>
      <c r="N467" s="658" t="s">
        <v>408</v>
      </c>
      <c r="O467" s="656"/>
      <c r="P467" s="656"/>
      <c r="Q467" s="654"/>
      <c r="R467" s="602"/>
    </row>
    <row r="468" spans="1:18" ht="12" customHeight="1">
      <c r="A468" s="619"/>
      <c r="B468" s="601"/>
      <c r="C468" s="619"/>
      <c r="D468" s="601"/>
      <c r="E468" s="619"/>
      <c r="F468" s="619"/>
      <c r="G468" s="619"/>
      <c r="H468" s="619"/>
      <c r="I468" s="619"/>
      <c r="J468" s="657" t="s">
        <v>409</v>
      </c>
      <c r="K468" s="619"/>
      <c r="L468" s="619"/>
      <c r="M468" s="619"/>
      <c r="N468" s="619"/>
      <c r="O468" s="619"/>
      <c r="P468" s="619"/>
      <c r="Q468" s="601"/>
      <c r="R468" s="602"/>
    </row>
    <row r="469" spans="1:18" ht="9.75" customHeight="1">
      <c r="A469" s="619"/>
      <c r="B469" s="601"/>
      <c r="C469" s="619"/>
      <c r="D469" s="601"/>
      <c r="E469" s="619"/>
      <c r="F469" s="619"/>
      <c r="G469" s="619"/>
      <c r="H469" s="619"/>
      <c r="I469" s="619"/>
      <c r="J469" s="656"/>
      <c r="K469" s="619"/>
      <c r="L469" s="619"/>
      <c r="M469" s="619"/>
      <c r="N469" s="619"/>
      <c r="O469" s="619"/>
      <c r="P469" s="619"/>
      <c r="Q469" s="601"/>
      <c r="R469" s="602"/>
    </row>
    <row r="470" spans="1:18" ht="12" customHeight="1">
      <c r="A470" s="619"/>
      <c r="B470" s="601"/>
      <c r="C470" s="619"/>
      <c r="D470" s="601"/>
      <c r="E470" s="619"/>
      <c r="F470" s="619"/>
      <c r="G470" s="619"/>
      <c r="H470" s="619"/>
      <c r="I470" s="619"/>
      <c r="J470" s="619"/>
      <c r="K470" s="659" t="s">
        <v>410</v>
      </c>
      <c r="L470" s="601"/>
      <c r="M470" s="601"/>
      <c r="N470" s="601"/>
      <c r="O470" s="619"/>
      <c r="P470" s="619"/>
      <c r="Q470" s="601"/>
      <c r="R470" s="602"/>
    </row>
    <row r="471" spans="1:18" ht="12" customHeight="1">
      <c r="A471" s="609"/>
      <c r="B471" s="649"/>
      <c r="C471" s="660" t="s">
        <v>411</v>
      </c>
      <c r="D471" s="602"/>
      <c r="E471" s="609"/>
      <c r="F471" s="609"/>
      <c r="G471" s="609"/>
      <c r="H471" s="609"/>
      <c r="I471" s="609"/>
      <c r="J471" s="617" t="s">
        <v>412</v>
      </c>
      <c r="K471" s="624" t="s">
        <v>405</v>
      </c>
      <c r="L471" s="624" t="s">
        <v>413</v>
      </c>
      <c r="M471" s="624" t="s">
        <v>407</v>
      </c>
      <c r="N471" s="624" t="s">
        <v>408</v>
      </c>
      <c r="O471" s="609"/>
      <c r="P471" s="609"/>
      <c r="Q471" s="602"/>
      <c r="R471" s="602"/>
    </row>
    <row r="472" spans="1:18" ht="12" customHeight="1">
      <c r="A472" s="619"/>
      <c r="B472" s="601"/>
      <c r="C472" s="619"/>
      <c r="D472" s="602"/>
      <c r="E472" s="619"/>
      <c r="F472" s="619"/>
      <c r="G472" s="619"/>
      <c r="H472" s="619"/>
      <c r="I472" s="619"/>
      <c r="J472" s="617" t="s">
        <v>414</v>
      </c>
      <c r="K472" s="619"/>
      <c r="L472" s="619"/>
      <c r="M472" s="619"/>
      <c r="N472" s="619"/>
      <c r="O472" s="619"/>
      <c r="P472" s="619"/>
      <c r="Q472" s="602"/>
      <c r="R472" s="602"/>
    </row>
    <row r="473" spans="1:18" ht="9.75" customHeight="1">
      <c r="A473" s="619"/>
      <c r="B473" s="601"/>
      <c r="C473" s="619"/>
      <c r="D473" s="602"/>
      <c r="E473" s="619"/>
      <c r="F473" s="619"/>
      <c r="G473" s="619"/>
      <c r="H473" s="619"/>
      <c r="I473" s="619"/>
      <c r="J473" s="609"/>
      <c r="K473" s="619"/>
      <c r="L473" s="619"/>
      <c r="M473" s="619"/>
      <c r="N473" s="619"/>
      <c r="O473" s="619"/>
      <c r="P473" s="619"/>
      <c r="Q473" s="602"/>
      <c r="R473" s="602"/>
    </row>
    <row r="474" spans="1:18" ht="12" customHeight="1">
      <c r="A474" s="619"/>
      <c r="B474" s="601"/>
      <c r="C474" s="619"/>
      <c r="D474" s="602"/>
      <c r="E474" s="619"/>
      <c r="F474" s="619"/>
      <c r="G474" s="619"/>
      <c r="H474" s="619"/>
      <c r="I474" s="619"/>
      <c r="J474" s="619"/>
      <c r="K474" s="661" t="s">
        <v>410</v>
      </c>
      <c r="L474" s="601"/>
      <c r="M474" s="601"/>
      <c r="N474" s="601"/>
      <c r="O474" s="619"/>
      <c r="P474" s="619"/>
      <c r="Q474" s="602"/>
      <c r="R474" s="602"/>
    </row>
    <row r="475" spans="1:18" ht="12" customHeight="1">
      <c r="A475" s="609"/>
      <c r="B475" s="654"/>
      <c r="C475" s="655" t="s">
        <v>415</v>
      </c>
      <c r="D475" s="654"/>
      <c r="E475" s="656"/>
      <c r="F475" s="656"/>
      <c r="G475" s="656"/>
      <c r="H475" s="656"/>
      <c r="I475" s="656"/>
      <c r="J475" s="657" t="s">
        <v>416</v>
      </c>
      <c r="K475" s="658" t="s">
        <v>405</v>
      </c>
      <c r="L475" s="658" t="s">
        <v>417</v>
      </c>
      <c r="M475" s="658" t="s">
        <v>407</v>
      </c>
      <c r="N475" s="658" t="s">
        <v>408</v>
      </c>
      <c r="O475" s="656"/>
      <c r="P475" s="656"/>
      <c r="Q475" s="654"/>
      <c r="R475" s="602"/>
    </row>
    <row r="476" spans="1:18" ht="11.25" customHeight="1">
      <c r="A476" s="619"/>
      <c r="B476" s="601"/>
      <c r="C476" s="619"/>
      <c r="D476" s="601"/>
      <c r="E476" s="619"/>
      <c r="F476" s="619"/>
      <c r="G476" s="619"/>
      <c r="H476" s="619"/>
      <c r="I476" s="619"/>
      <c r="J476" s="658" t="s">
        <v>418</v>
      </c>
      <c r="K476" s="619"/>
      <c r="L476" s="619"/>
      <c r="M476" s="619"/>
      <c r="N476" s="619"/>
      <c r="O476" s="619"/>
      <c r="P476" s="619"/>
      <c r="Q476" s="601"/>
      <c r="R476" s="602"/>
    </row>
    <row r="477" spans="1:18" ht="0.75" customHeight="1">
      <c r="A477" s="619"/>
      <c r="B477" s="601"/>
      <c r="C477" s="619"/>
      <c r="D477" s="601"/>
      <c r="E477" s="619"/>
      <c r="F477" s="619"/>
      <c r="G477" s="619"/>
      <c r="H477" s="619"/>
      <c r="I477" s="619"/>
      <c r="J477" s="619"/>
      <c r="K477" s="659" t="s">
        <v>410</v>
      </c>
      <c r="L477" s="601"/>
      <c r="M477" s="601"/>
      <c r="N477" s="601"/>
      <c r="O477" s="619"/>
      <c r="P477" s="619"/>
      <c r="Q477" s="601"/>
      <c r="R477" s="602"/>
    </row>
    <row r="478" spans="1:18" ht="11.25" customHeight="1">
      <c r="A478" s="619"/>
      <c r="B478" s="601"/>
      <c r="C478" s="619"/>
      <c r="D478" s="601"/>
      <c r="E478" s="619"/>
      <c r="F478" s="619"/>
      <c r="G478" s="619"/>
      <c r="H478" s="619"/>
      <c r="I478" s="619"/>
      <c r="J478" s="662"/>
      <c r="K478" s="619"/>
      <c r="L478" s="620"/>
      <c r="M478" s="620"/>
      <c r="N478" s="620"/>
      <c r="O478" s="619"/>
      <c r="P478" s="619"/>
      <c r="Q478" s="601"/>
      <c r="R478" s="602"/>
    </row>
    <row r="479" spans="1:18" ht="12" customHeight="1">
      <c r="A479" s="649"/>
      <c r="B479" s="601"/>
      <c r="C479" s="601"/>
      <c r="D479" s="601"/>
      <c r="E479" s="601"/>
      <c r="F479" s="601"/>
      <c r="G479" s="601"/>
      <c r="H479" s="601"/>
      <c r="I479" s="601"/>
      <c r="J479" s="601"/>
      <c r="K479" s="602"/>
      <c r="L479" s="602"/>
      <c r="M479" s="602"/>
      <c r="N479" s="602"/>
      <c r="O479" s="602"/>
      <c r="P479" s="602"/>
      <c r="Q479" s="602"/>
      <c r="R479" s="602"/>
    </row>
    <row r="480" spans="1:18" ht="15.75" customHeight="1">
      <c r="A480" s="609"/>
      <c r="B480" s="601"/>
      <c r="C480" s="601"/>
      <c r="D480" s="601"/>
      <c r="E480" s="601"/>
      <c r="F480" s="601"/>
      <c r="G480" s="601"/>
      <c r="H480" s="601"/>
      <c r="I480" s="601"/>
      <c r="J480" s="601"/>
      <c r="K480" s="602"/>
      <c r="L480" s="602"/>
      <c r="M480" s="602"/>
      <c r="N480" s="602"/>
      <c r="O480" s="602"/>
      <c r="P480" s="602"/>
      <c r="Q480" s="602"/>
      <c r="R480" s="602"/>
    </row>
    <row r="481" spans="1:18" ht="12" customHeight="1">
      <c r="A481" s="616" t="s">
        <v>419</v>
      </c>
      <c r="B481" s="601"/>
      <c r="C481" s="601"/>
      <c r="D481" s="601"/>
      <c r="E481" s="601"/>
      <c r="F481" s="601"/>
      <c r="G481" s="601"/>
      <c r="H481" s="601"/>
      <c r="I481" s="601"/>
      <c r="J481" s="601"/>
      <c r="K481" s="602"/>
      <c r="L481" s="602"/>
      <c r="M481" s="602"/>
      <c r="N481" s="602"/>
      <c r="O481" s="602"/>
      <c r="P481" s="602"/>
      <c r="Q481" s="602"/>
      <c r="R481" s="602"/>
    </row>
    <row r="482" spans="1:18" ht="12" customHeight="1">
      <c r="A482" s="599"/>
      <c r="B482" s="648" t="s">
        <v>399</v>
      </c>
      <c r="C482" s="602"/>
      <c r="D482" s="602"/>
      <c r="E482" s="602"/>
      <c r="F482" s="602"/>
      <c r="G482" s="602"/>
      <c r="H482" s="602"/>
      <c r="I482" s="602"/>
      <c r="J482" s="602"/>
      <c r="K482" s="602"/>
      <c r="L482" s="602"/>
      <c r="M482" s="602"/>
      <c r="N482" s="602"/>
      <c r="O482" s="602"/>
      <c r="P482" s="602"/>
      <c r="Q482" s="602"/>
      <c r="R482" s="602"/>
    </row>
    <row r="483" spans="1:18" ht="12" customHeight="1">
      <c r="A483" s="649"/>
      <c r="B483" s="601"/>
      <c r="C483" s="602"/>
      <c r="D483" s="602"/>
      <c r="E483" s="602"/>
      <c r="F483" s="602"/>
      <c r="G483" s="602"/>
      <c r="H483" s="602"/>
      <c r="I483" s="602"/>
      <c r="J483" s="602"/>
      <c r="K483" s="602"/>
      <c r="L483" s="602"/>
      <c r="M483" s="602"/>
      <c r="N483" s="602"/>
      <c r="O483" s="602"/>
      <c r="P483" s="602"/>
      <c r="Q483" s="602"/>
      <c r="R483" s="602"/>
    </row>
    <row r="484" spans="1:18" ht="15.75" customHeight="1">
      <c r="A484" s="609"/>
      <c r="B484" s="601"/>
      <c r="C484" s="601"/>
      <c r="D484" s="601"/>
      <c r="E484" s="601"/>
      <c r="F484" s="601"/>
      <c r="G484" s="601"/>
      <c r="H484" s="601"/>
      <c r="I484" s="601"/>
      <c r="J484" s="601"/>
      <c r="K484" s="602"/>
      <c r="L484" s="602"/>
      <c r="M484" s="602"/>
      <c r="N484" s="602"/>
      <c r="O484" s="602"/>
      <c r="P484" s="602"/>
      <c r="Q484" s="602"/>
      <c r="R484" s="602"/>
    </row>
    <row r="485" spans="1:18" ht="12" customHeight="1">
      <c r="A485" s="650"/>
      <c r="B485" s="650"/>
      <c r="C485" s="650"/>
      <c r="D485" s="650"/>
      <c r="E485" s="650"/>
      <c r="F485" s="650"/>
      <c r="G485" s="650"/>
      <c r="H485" s="650"/>
      <c r="I485" s="650"/>
      <c r="J485" s="651" t="s">
        <v>63</v>
      </c>
      <c r="K485" s="652" t="s">
        <v>400</v>
      </c>
      <c r="L485" s="601"/>
      <c r="M485" s="653" t="s">
        <v>420</v>
      </c>
      <c r="N485" s="653" t="s">
        <v>402</v>
      </c>
      <c r="O485" s="650"/>
      <c r="P485" s="650"/>
      <c r="Q485" s="650"/>
      <c r="R485" s="602"/>
    </row>
    <row r="486" spans="1:18" ht="12" customHeight="1">
      <c r="A486" s="609"/>
      <c r="B486" s="654"/>
      <c r="C486" s="655" t="s">
        <v>403</v>
      </c>
      <c r="D486" s="654"/>
      <c r="E486" s="656"/>
      <c r="F486" s="656"/>
      <c r="G486" s="656"/>
      <c r="H486" s="656"/>
      <c r="I486" s="656"/>
      <c r="J486" s="657" t="s">
        <v>404</v>
      </c>
      <c r="K486" s="658" t="s">
        <v>405</v>
      </c>
      <c r="L486" s="658" t="s">
        <v>421</v>
      </c>
      <c r="M486" s="658" t="s">
        <v>422</v>
      </c>
      <c r="N486" s="658" t="s">
        <v>408</v>
      </c>
      <c r="O486" s="656"/>
      <c r="P486" s="656"/>
      <c r="Q486" s="654"/>
      <c r="R486" s="602"/>
    </row>
    <row r="487" spans="1:18" ht="11.25" customHeight="1">
      <c r="A487" s="619"/>
      <c r="B487" s="601"/>
      <c r="C487" s="619"/>
      <c r="D487" s="601"/>
      <c r="E487" s="619"/>
      <c r="F487" s="619"/>
      <c r="G487" s="619"/>
      <c r="H487" s="619"/>
      <c r="I487" s="619"/>
      <c r="J487" s="658" t="s">
        <v>409</v>
      </c>
      <c r="K487" s="619"/>
      <c r="L487" s="619"/>
      <c r="M487" s="619"/>
      <c r="N487" s="619"/>
      <c r="O487" s="619"/>
      <c r="P487" s="619"/>
      <c r="Q487" s="601"/>
      <c r="R487" s="602"/>
    </row>
    <row r="488" spans="1:18" ht="0.75" customHeight="1">
      <c r="A488" s="619"/>
      <c r="B488" s="601"/>
      <c r="C488" s="619"/>
      <c r="D488" s="601"/>
      <c r="E488" s="619"/>
      <c r="F488" s="619"/>
      <c r="G488" s="619"/>
      <c r="H488" s="619"/>
      <c r="I488" s="619"/>
      <c r="J488" s="619"/>
      <c r="K488" s="659" t="s">
        <v>410</v>
      </c>
      <c r="L488" s="601"/>
      <c r="M488" s="601"/>
      <c r="N488" s="601"/>
      <c r="O488" s="619"/>
      <c r="P488" s="619"/>
      <c r="Q488" s="601"/>
      <c r="R488" s="602"/>
    </row>
    <row r="489" spans="1:18" ht="11.25" customHeight="1">
      <c r="A489" s="619"/>
      <c r="B489" s="601"/>
      <c r="C489" s="619"/>
      <c r="D489" s="601"/>
      <c r="E489" s="619"/>
      <c r="F489" s="619"/>
      <c r="G489" s="619"/>
      <c r="H489" s="619"/>
      <c r="I489" s="619"/>
      <c r="J489" s="662"/>
      <c r="K489" s="619"/>
      <c r="L489" s="620"/>
      <c r="M489" s="620"/>
      <c r="N489" s="620"/>
      <c r="O489" s="619"/>
      <c r="P489" s="619"/>
      <c r="Q489" s="601"/>
      <c r="R489" s="602"/>
    </row>
    <row r="490" spans="1:18" ht="12" customHeight="1">
      <c r="A490" s="609"/>
      <c r="B490" s="601"/>
      <c r="C490" s="601"/>
      <c r="D490" s="601"/>
      <c r="E490" s="601"/>
      <c r="F490" s="601"/>
      <c r="G490" s="601"/>
      <c r="H490" s="601"/>
      <c r="I490" s="601"/>
      <c r="J490" s="601"/>
      <c r="K490" s="602"/>
      <c r="L490" s="602"/>
      <c r="M490" s="602"/>
      <c r="N490" s="602"/>
      <c r="O490" s="602"/>
      <c r="P490" s="602"/>
      <c r="Q490" s="602"/>
      <c r="R490" s="602"/>
    </row>
    <row r="491" spans="1:18" ht="15.75" customHeight="1">
      <c r="A491" s="614" t="s">
        <v>423</v>
      </c>
      <c r="B491" s="615"/>
      <c r="C491" s="615"/>
      <c r="D491" s="615"/>
      <c r="E491" s="615"/>
      <c r="F491" s="615"/>
      <c r="G491" s="615"/>
      <c r="H491" s="615"/>
      <c r="I491" s="615"/>
      <c r="J491" s="615"/>
      <c r="K491" s="602"/>
      <c r="L491" s="602"/>
      <c r="M491" s="602"/>
      <c r="N491" s="602"/>
      <c r="O491" s="602"/>
      <c r="P491" s="602"/>
      <c r="Q491" s="602"/>
      <c r="R491" s="602"/>
    </row>
    <row r="492" spans="1:18" ht="12" customHeight="1">
      <c r="A492" s="609"/>
      <c r="B492" s="601"/>
      <c r="C492" s="601"/>
      <c r="D492" s="601"/>
      <c r="E492" s="601"/>
      <c r="F492" s="601"/>
      <c r="G492" s="601"/>
      <c r="H492" s="601"/>
      <c r="I492" s="601"/>
      <c r="J492" s="601"/>
      <c r="K492" s="602"/>
      <c r="L492" s="602"/>
      <c r="M492" s="602"/>
      <c r="N492" s="602"/>
      <c r="O492" s="602"/>
      <c r="P492" s="602"/>
      <c r="Q492" s="602"/>
      <c r="R492" s="602"/>
    </row>
    <row r="493" spans="1:18" ht="12" customHeight="1">
      <c r="A493" s="621" t="s">
        <v>424</v>
      </c>
      <c r="B493" s="601"/>
      <c r="C493" s="601"/>
      <c r="D493" s="601"/>
      <c r="E493" s="601"/>
      <c r="F493" s="601"/>
      <c r="G493" s="601"/>
      <c r="H493" s="601"/>
      <c r="I493" s="601"/>
      <c r="J493" s="601"/>
      <c r="K493" s="602"/>
      <c r="L493" s="602"/>
      <c r="M493" s="602"/>
      <c r="N493" s="602"/>
      <c r="O493" s="602"/>
      <c r="P493" s="602"/>
      <c r="Q493" s="602"/>
      <c r="R493" s="602"/>
    </row>
    <row r="494" spans="1:18" ht="2.25" customHeight="1">
      <c r="A494" s="609"/>
      <c r="B494" s="601"/>
      <c r="C494" s="601"/>
      <c r="D494" s="601"/>
      <c r="E494" s="601"/>
      <c r="F494" s="601"/>
      <c r="G494" s="601"/>
      <c r="H494" s="601"/>
      <c r="I494" s="601"/>
      <c r="J494" s="601"/>
      <c r="K494" s="602"/>
      <c r="L494" s="602"/>
      <c r="M494" s="602"/>
      <c r="N494" s="602"/>
      <c r="O494" s="602"/>
      <c r="P494" s="602"/>
      <c r="Q494" s="602"/>
      <c r="R494" s="602"/>
    </row>
    <row r="495" spans="1:18" ht="23.25" customHeight="1">
      <c r="A495" s="606" t="s">
        <v>425</v>
      </c>
      <c r="B495" s="617" t="s">
        <v>426</v>
      </c>
      <c r="C495" s="602"/>
      <c r="D495" s="602"/>
      <c r="E495" s="602"/>
      <c r="F495" s="602"/>
      <c r="G495" s="602"/>
      <c r="H495" s="602"/>
      <c r="I495" s="602"/>
      <c r="J495" s="602"/>
      <c r="K495" s="602"/>
      <c r="L495" s="602"/>
      <c r="M495" s="602"/>
      <c r="N495" s="602"/>
      <c r="O495" s="602"/>
      <c r="P495" s="602"/>
      <c r="Q495" s="602"/>
      <c r="R495" s="602"/>
    </row>
    <row r="496" spans="1:18" ht="2.25" customHeight="1">
      <c r="A496" s="609"/>
      <c r="B496" s="601"/>
      <c r="C496" s="601"/>
      <c r="D496" s="601"/>
      <c r="E496" s="601"/>
      <c r="F496" s="601"/>
      <c r="G496" s="601"/>
      <c r="H496" s="601"/>
      <c r="I496" s="601"/>
      <c r="J496" s="601"/>
      <c r="K496" s="602"/>
      <c r="L496" s="602"/>
      <c r="M496" s="602"/>
      <c r="N496" s="602"/>
      <c r="O496" s="602"/>
      <c r="P496" s="602"/>
      <c r="Q496" s="602"/>
      <c r="R496" s="602"/>
    </row>
    <row r="497" spans="1:18" ht="12" customHeight="1">
      <c r="A497" s="624" t="s">
        <v>821</v>
      </c>
      <c r="B497" s="601"/>
      <c r="C497" s="601"/>
      <c r="D497" s="601"/>
      <c r="E497" s="601"/>
      <c r="F497" s="601"/>
      <c r="G497" s="601"/>
      <c r="H497" s="601"/>
      <c r="I497" s="601"/>
      <c r="J497" s="601"/>
      <c r="K497" s="602"/>
      <c r="L497" s="602"/>
      <c r="M497" s="602"/>
      <c r="N497" s="602"/>
      <c r="O497" s="602"/>
      <c r="P497" s="602"/>
      <c r="Q497" s="602"/>
      <c r="R497" s="602"/>
    </row>
    <row r="498" spans="1:18" ht="12" customHeight="1">
      <c r="A498" s="609"/>
      <c r="B498" s="601"/>
      <c r="C498" s="601"/>
      <c r="D498" s="601"/>
      <c r="E498" s="601"/>
      <c r="F498" s="601"/>
      <c r="G498" s="601"/>
      <c r="H498" s="601"/>
      <c r="I498" s="601"/>
      <c r="J498" s="601"/>
      <c r="K498" s="602"/>
      <c r="L498" s="602"/>
      <c r="M498" s="602"/>
      <c r="N498" s="602"/>
      <c r="O498" s="602"/>
      <c r="P498" s="602"/>
      <c r="Q498" s="602"/>
      <c r="R498" s="602"/>
    </row>
    <row r="499" spans="1:18" ht="12" customHeight="1">
      <c r="A499" s="663"/>
      <c r="B499" s="602"/>
      <c r="C499" s="602"/>
      <c r="D499" s="602"/>
      <c r="E499" s="664"/>
      <c r="F499" s="601"/>
      <c r="G499" s="665" t="s">
        <v>428</v>
      </c>
      <c r="H499" s="601"/>
      <c r="I499" s="665" t="s">
        <v>402</v>
      </c>
      <c r="J499" s="601"/>
      <c r="K499" s="665" t="s">
        <v>429</v>
      </c>
      <c r="L499" s="601"/>
      <c r="M499" s="602"/>
      <c r="N499" s="602"/>
      <c r="O499" s="602"/>
      <c r="P499" s="602"/>
      <c r="Q499" s="602"/>
      <c r="R499" s="602"/>
    </row>
    <row r="500" spans="1:18" ht="34.5" customHeight="1">
      <c r="A500" s="666" t="s">
        <v>430</v>
      </c>
      <c r="B500" s="602"/>
      <c r="C500" s="602"/>
      <c r="D500" s="602"/>
      <c r="E500" s="667" t="s">
        <v>431</v>
      </c>
      <c r="F500" s="666" t="s">
        <v>432</v>
      </c>
      <c r="G500" s="667" t="s">
        <v>433</v>
      </c>
      <c r="H500" s="667" t="s">
        <v>434</v>
      </c>
      <c r="I500" s="667" t="s">
        <v>435</v>
      </c>
      <c r="J500" s="667" t="s">
        <v>436</v>
      </c>
      <c r="K500" s="667" t="s">
        <v>437</v>
      </c>
      <c r="L500" s="667" t="s">
        <v>438</v>
      </c>
      <c r="M500" s="602"/>
      <c r="N500" s="602"/>
      <c r="O500" s="602"/>
      <c r="P500" s="602"/>
      <c r="Q500" s="602"/>
      <c r="R500" s="602"/>
    </row>
    <row r="501" spans="1:18" ht="12" customHeight="1">
      <c r="A501" s="599"/>
      <c r="B501" s="602"/>
      <c r="C501" s="668" t="s">
        <v>439</v>
      </c>
      <c r="D501" s="601"/>
      <c r="E501" s="669" t="s">
        <v>440</v>
      </c>
      <c r="F501" s="669" t="s">
        <v>441</v>
      </c>
      <c r="G501" s="670" t="s">
        <v>442</v>
      </c>
      <c r="H501" s="670" t="s">
        <v>104</v>
      </c>
      <c r="I501" s="669" t="s">
        <v>408</v>
      </c>
      <c r="J501" s="671">
        <v>45777</v>
      </c>
      <c r="K501" s="670" t="s">
        <v>405</v>
      </c>
      <c r="L501" s="670" t="s">
        <v>405</v>
      </c>
      <c r="M501" s="602"/>
      <c r="N501" s="602"/>
      <c r="O501" s="602"/>
      <c r="P501" s="602"/>
      <c r="Q501" s="602"/>
      <c r="R501" s="602"/>
    </row>
    <row r="502" spans="1:18" ht="47.25" customHeight="1">
      <c r="A502" s="672" t="s">
        <v>0</v>
      </c>
      <c r="B502" s="602"/>
      <c r="C502" s="602"/>
      <c r="D502" s="602"/>
      <c r="E502" s="673" t="s">
        <v>440</v>
      </c>
      <c r="F502" s="673" t="s">
        <v>443</v>
      </c>
      <c r="G502" s="674"/>
      <c r="H502" s="674"/>
      <c r="I502" s="674"/>
      <c r="J502" s="674"/>
      <c r="K502" s="675">
        <v>15</v>
      </c>
      <c r="L502" s="675">
        <v>52</v>
      </c>
      <c r="M502" s="602"/>
      <c r="N502" s="602"/>
      <c r="O502" s="602"/>
      <c r="P502" s="602"/>
      <c r="Q502" s="602"/>
      <c r="R502" s="602"/>
    </row>
    <row r="503" spans="1:18" ht="12" customHeight="1">
      <c r="A503" s="649"/>
      <c r="B503" s="601"/>
      <c r="C503" s="601"/>
      <c r="D503" s="601"/>
      <c r="E503" s="601"/>
      <c r="F503" s="601"/>
      <c r="G503" s="601"/>
      <c r="H503" s="601"/>
      <c r="I503" s="601"/>
      <c r="J503" s="601"/>
      <c r="K503" s="602"/>
      <c r="L503" s="602"/>
      <c r="M503" s="602"/>
      <c r="N503" s="602"/>
      <c r="O503" s="602"/>
      <c r="P503" s="602"/>
      <c r="Q503" s="602"/>
      <c r="R503" s="602"/>
    </row>
    <row r="504" spans="1:18" ht="12" customHeight="1">
      <c r="A504" s="599"/>
      <c r="B504" s="648" t="s">
        <v>444</v>
      </c>
      <c r="C504" s="602"/>
      <c r="D504" s="602"/>
      <c r="E504" s="602"/>
      <c r="F504" s="602"/>
      <c r="G504" s="602"/>
      <c r="H504" s="602"/>
      <c r="I504" s="602"/>
      <c r="J504" s="602"/>
      <c r="K504" s="602"/>
      <c r="L504" s="602"/>
      <c r="M504" s="602"/>
      <c r="N504" s="602"/>
      <c r="O504" s="602"/>
      <c r="P504" s="602"/>
      <c r="Q504" s="602"/>
      <c r="R504" s="602"/>
    </row>
    <row r="505" spans="1:18" ht="23.25" customHeight="1">
      <c r="A505" s="669" t="s">
        <v>445</v>
      </c>
      <c r="B505" s="648" t="s">
        <v>446</v>
      </c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602"/>
      <c r="O505" s="602"/>
      <c r="P505" s="602"/>
      <c r="Q505" s="602"/>
      <c r="R505" s="602"/>
    </row>
    <row r="506" spans="1:18" ht="12" customHeight="1">
      <c r="A506" s="609"/>
      <c r="B506" s="601"/>
      <c r="C506" s="601"/>
      <c r="D506" s="601"/>
      <c r="E506" s="601"/>
      <c r="F506" s="601"/>
      <c r="G506" s="601"/>
      <c r="H506" s="601"/>
      <c r="I506" s="601"/>
      <c r="J506" s="601"/>
      <c r="K506" s="602"/>
      <c r="L506" s="602"/>
      <c r="M506" s="602"/>
      <c r="N506" s="602"/>
      <c r="O506" s="602"/>
      <c r="P506" s="602"/>
      <c r="Q506" s="602"/>
      <c r="R506" s="602"/>
    </row>
    <row r="507" spans="1:18" ht="15.75" customHeight="1">
      <c r="A507" s="614" t="s">
        <v>447</v>
      </c>
      <c r="B507" s="615"/>
      <c r="C507" s="615"/>
      <c r="D507" s="615"/>
      <c r="E507" s="615"/>
      <c r="F507" s="615"/>
      <c r="G507" s="615"/>
      <c r="H507" s="615"/>
      <c r="I507" s="615"/>
      <c r="J507" s="615"/>
      <c r="K507" s="602"/>
      <c r="L507" s="602"/>
      <c r="M507" s="602"/>
      <c r="N507" s="602"/>
      <c r="O507" s="602"/>
      <c r="P507" s="602"/>
      <c r="Q507" s="602"/>
      <c r="R507" s="602"/>
    </row>
    <row r="508" spans="1:18" ht="12" customHeight="1">
      <c r="A508" s="609"/>
      <c r="B508" s="601"/>
      <c r="C508" s="601"/>
      <c r="D508" s="601"/>
      <c r="E508" s="601"/>
      <c r="F508" s="601"/>
      <c r="G508" s="601"/>
      <c r="H508" s="601"/>
      <c r="I508" s="601"/>
      <c r="J508" s="601"/>
      <c r="K508" s="602"/>
      <c r="L508" s="602"/>
      <c r="M508" s="602"/>
      <c r="N508" s="602"/>
      <c r="O508" s="602"/>
      <c r="P508" s="602"/>
      <c r="Q508" s="602"/>
      <c r="R508" s="602"/>
    </row>
    <row r="509" spans="1:18" ht="0.75" customHeight="1">
      <c r="A509" s="609"/>
      <c r="B509" s="601"/>
      <c r="C509" s="601"/>
      <c r="D509" s="601"/>
      <c r="E509" s="601"/>
      <c r="F509" s="601"/>
      <c r="G509" s="601"/>
      <c r="H509" s="601"/>
      <c r="I509" s="601"/>
      <c r="J509" s="601"/>
      <c r="K509" s="602"/>
      <c r="L509" s="602"/>
      <c r="M509" s="602"/>
      <c r="N509" s="602"/>
      <c r="O509" s="602"/>
      <c r="P509" s="602"/>
      <c r="Q509" s="602"/>
      <c r="R509" s="602"/>
    </row>
    <row r="510" spans="1:18" ht="12" customHeight="1">
      <c r="A510" s="624" t="s">
        <v>822</v>
      </c>
      <c r="B510" s="601"/>
      <c r="C510" s="601"/>
      <c r="D510" s="601"/>
      <c r="E510" s="601"/>
      <c r="F510" s="601"/>
      <c r="G510" s="601"/>
      <c r="H510" s="601"/>
      <c r="I510" s="601"/>
      <c r="J510" s="601"/>
      <c r="K510" s="602"/>
      <c r="L510" s="602"/>
      <c r="M510" s="602"/>
      <c r="N510" s="602"/>
      <c r="O510" s="602"/>
      <c r="P510" s="602"/>
      <c r="Q510" s="602"/>
      <c r="R510" s="602"/>
    </row>
    <row r="511" spans="1:18" ht="0.75" customHeight="1">
      <c r="A511" s="609"/>
      <c r="B511" s="601"/>
      <c r="C511" s="601"/>
      <c r="D511" s="601"/>
      <c r="E511" s="601"/>
      <c r="F511" s="601"/>
      <c r="G511" s="601"/>
      <c r="H511" s="601"/>
      <c r="I511" s="601"/>
      <c r="J511" s="601"/>
      <c r="K511" s="602"/>
      <c r="L511" s="602"/>
      <c r="M511" s="602"/>
      <c r="N511" s="602"/>
      <c r="O511" s="602"/>
      <c r="P511" s="602"/>
      <c r="Q511" s="602"/>
      <c r="R511" s="602"/>
    </row>
    <row r="512" spans="1:18" ht="0.75" customHeight="1">
      <c r="A512" s="609"/>
      <c r="B512" s="601"/>
      <c r="C512" s="601"/>
      <c r="D512" s="601"/>
      <c r="E512" s="601"/>
      <c r="F512" s="601"/>
      <c r="G512" s="601"/>
      <c r="H512" s="601"/>
      <c r="I512" s="601"/>
      <c r="J512" s="601"/>
      <c r="K512" s="602"/>
      <c r="L512" s="602"/>
      <c r="M512" s="602"/>
      <c r="N512" s="602"/>
      <c r="O512" s="602"/>
      <c r="P512" s="602"/>
      <c r="Q512" s="602"/>
      <c r="R512" s="602"/>
    </row>
    <row r="513" spans="1:18" ht="12" customHeight="1">
      <c r="A513" s="624" t="s">
        <v>823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2"/>
      <c r="L513" s="602"/>
      <c r="M513" s="602"/>
      <c r="N513" s="602"/>
      <c r="O513" s="602"/>
      <c r="P513" s="602"/>
      <c r="Q513" s="602"/>
      <c r="R513" s="602"/>
    </row>
    <row r="514" spans="1:18" ht="16.5" customHeight="1">
      <c r="A514" s="663"/>
      <c r="B514" s="663"/>
      <c r="C514" s="663"/>
      <c r="D514" s="665" t="s">
        <v>428</v>
      </c>
      <c r="E514" s="601"/>
      <c r="F514" s="663"/>
      <c r="G514" s="663"/>
      <c r="H514" s="665" t="s">
        <v>402</v>
      </c>
      <c r="I514" s="601"/>
      <c r="J514" s="663"/>
      <c r="K514" s="665" t="s">
        <v>429</v>
      </c>
      <c r="L514" s="601"/>
      <c r="M514" s="663"/>
      <c r="N514" s="602"/>
      <c r="O514" s="602"/>
      <c r="P514" s="602"/>
      <c r="Q514" s="602"/>
      <c r="R514" s="602"/>
    </row>
    <row r="515" spans="1:18" ht="34.5" customHeight="1">
      <c r="A515" s="663"/>
      <c r="B515" s="676" t="s">
        <v>450</v>
      </c>
      <c r="C515" s="667" t="s">
        <v>431</v>
      </c>
      <c r="D515" s="677" t="s">
        <v>433</v>
      </c>
      <c r="E515" s="677" t="s">
        <v>434</v>
      </c>
      <c r="F515" s="678" t="s">
        <v>451</v>
      </c>
      <c r="G515" s="667" t="s">
        <v>452</v>
      </c>
      <c r="H515" s="667" t="s">
        <v>435</v>
      </c>
      <c r="I515" s="667" t="s">
        <v>436</v>
      </c>
      <c r="J515" s="667" t="s">
        <v>453</v>
      </c>
      <c r="K515" s="667" t="s">
        <v>437</v>
      </c>
      <c r="L515" s="667" t="s">
        <v>438</v>
      </c>
      <c r="M515" s="663"/>
      <c r="N515" s="602"/>
      <c r="O515" s="602"/>
      <c r="P515" s="602"/>
      <c r="Q515" s="602"/>
      <c r="R515" s="602"/>
    </row>
    <row r="516" spans="1:18" ht="12" customHeight="1">
      <c r="A516" s="617" t="s">
        <v>403</v>
      </c>
      <c r="B516" s="679" t="s">
        <v>454</v>
      </c>
      <c r="C516" s="669" t="s">
        <v>455</v>
      </c>
      <c r="D516" s="670" t="s">
        <v>456</v>
      </c>
      <c r="E516" s="670" t="s">
        <v>456</v>
      </c>
      <c r="F516" s="680">
        <v>1</v>
      </c>
      <c r="G516" s="669" t="s">
        <v>405</v>
      </c>
      <c r="H516" s="669" t="s">
        <v>408</v>
      </c>
      <c r="I516" s="671">
        <v>44651</v>
      </c>
      <c r="J516" s="681" t="s">
        <v>457</v>
      </c>
      <c r="K516" s="670" t="s">
        <v>104</v>
      </c>
      <c r="L516" s="682">
        <v>1</v>
      </c>
      <c r="M516" s="602"/>
      <c r="N516" s="602"/>
      <c r="O516" s="602"/>
      <c r="P516" s="602"/>
      <c r="Q516" s="602"/>
      <c r="R516" s="602"/>
    </row>
    <row r="517" spans="1:18" ht="12" customHeight="1">
      <c r="A517" s="657" t="s">
        <v>411</v>
      </c>
      <c r="B517" s="683" t="s">
        <v>458</v>
      </c>
      <c r="C517" s="684" t="s">
        <v>459</v>
      </c>
      <c r="D517" s="685" t="s">
        <v>456</v>
      </c>
      <c r="E517" s="685" t="s">
        <v>456</v>
      </c>
      <c r="F517" s="686">
        <v>1</v>
      </c>
      <c r="G517" s="684" t="s">
        <v>405</v>
      </c>
      <c r="H517" s="684" t="s">
        <v>460</v>
      </c>
      <c r="I517" s="687">
        <v>45930</v>
      </c>
      <c r="J517" s="688" t="s">
        <v>457</v>
      </c>
      <c r="K517" s="689" t="s">
        <v>104</v>
      </c>
      <c r="L517" s="689" t="s">
        <v>104</v>
      </c>
      <c r="M517" s="602"/>
      <c r="N517" s="602"/>
      <c r="O517" s="602"/>
      <c r="P517" s="602"/>
      <c r="Q517" s="602"/>
      <c r="R517" s="602"/>
    </row>
    <row r="518" spans="1:18" ht="12" customHeight="1">
      <c r="A518" s="649"/>
      <c r="B518" s="601"/>
      <c r="C518" s="601"/>
      <c r="D518" s="601"/>
      <c r="E518" s="601"/>
      <c r="F518" s="601"/>
      <c r="G518" s="601"/>
      <c r="H518" s="601"/>
      <c r="I518" s="601"/>
      <c r="J518" s="601"/>
      <c r="K518" s="602"/>
      <c r="L518" s="602"/>
      <c r="M518" s="602"/>
      <c r="N518" s="602"/>
      <c r="O518" s="602"/>
      <c r="P518" s="602"/>
      <c r="Q518" s="602"/>
      <c r="R518" s="602"/>
    </row>
    <row r="519" spans="1:18" ht="23.25" customHeight="1">
      <c r="A519" s="669" t="s">
        <v>445</v>
      </c>
      <c r="B519" s="648" t="s">
        <v>446</v>
      </c>
      <c r="C519" s="602"/>
      <c r="D519" s="602"/>
      <c r="E519" s="602"/>
      <c r="F519" s="602"/>
      <c r="G519" s="602"/>
      <c r="H519" s="602"/>
      <c r="I519" s="602"/>
      <c r="J519" s="602"/>
      <c r="K519" s="602"/>
      <c r="L519" s="602"/>
      <c r="M519" s="602"/>
      <c r="N519" s="602"/>
      <c r="O519" s="602"/>
      <c r="P519" s="602"/>
      <c r="Q519" s="602"/>
      <c r="R519" s="602"/>
    </row>
    <row r="520" spans="1:18" ht="12" customHeight="1">
      <c r="A520" s="609"/>
      <c r="B520" s="601"/>
      <c r="C520" s="601"/>
      <c r="D520" s="601"/>
      <c r="E520" s="601"/>
      <c r="F520" s="601"/>
      <c r="G520" s="601"/>
      <c r="H520" s="601"/>
      <c r="I520" s="601"/>
      <c r="J520" s="601"/>
      <c r="K520" s="602"/>
      <c r="L520" s="602"/>
      <c r="M520" s="602"/>
      <c r="N520" s="602"/>
      <c r="O520" s="602"/>
      <c r="P520" s="602"/>
      <c r="Q520" s="602"/>
      <c r="R520" s="602"/>
    </row>
    <row r="521" spans="1:18" ht="15.75" customHeight="1">
      <c r="A521" s="614" t="s">
        <v>461</v>
      </c>
      <c r="B521" s="615"/>
      <c r="C521" s="615"/>
      <c r="D521" s="615"/>
      <c r="E521" s="615"/>
      <c r="F521" s="615"/>
      <c r="G521" s="615"/>
      <c r="H521" s="615"/>
      <c r="I521" s="615"/>
      <c r="J521" s="615"/>
      <c r="K521" s="602"/>
      <c r="L521" s="602"/>
      <c r="M521" s="602"/>
      <c r="N521" s="602"/>
      <c r="O521" s="602"/>
      <c r="P521" s="602"/>
      <c r="Q521" s="602"/>
      <c r="R521" s="602"/>
    </row>
    <row r="522" spans="1:18" ht="12" customHeight="1">
      <c r="A522" s="609"/>
      <c r="B522" s="601"/>
      <c r="C522" s="601"/>
      <c r="D522" s="601"/>
      <c r="E522" s="601"/>
      <c r="F522" s="601"/>
      <c r="G522" s="601"/>
      <c r="H522" s="601"/>
      <c r="I522" s="601"/>
      <c r="J522" s="601"/>
      <c r="K522" s="602"/>
      <c r="L522" s="602"/>
      <c r="M522" s="602"/>
      <c r="N522" s="602"/>
      <c r="O522" s="602"/>
      <c r="P522" s="602"/>
      <c r="Q522" s="602"/>
      <c r="R522" s="602"/>
    </row>
    <row r="523" spans="1:18" ht="12" customHeight="1">
      <c r="A523" s="609"/>
      <c r="B523" s="601"/>
      <c r="C523" s="601"/>
      <c r="D523" s="601"/>
      <c r="E523" s="602"/>
      <c r="F523" s="602"/>
      <c r="G523" s="602"/>
      <c r="H523" s="602"/>
      <c r="I523" s="602"/>
      <c r="J523" s="602"/>
      <c r="K523" s="602"/>
      <c r="L523" s="602"/>
      <c r="M523" s="602"/>
      <c r="N523" s="602"/>
      <c r="O523" s="602"/>
      <c r="P523" s="602"/>
      <c r="Q523" s="602"/>
      <c r="R523" s="602"/>
    </row>
    <row r="524" spans="1:18" ht="12" customHeight="1">
      <c r="A524" s="624" t="s">
        <v>462</v>
      </c>
      <c r="B524" s="601"/>
      <c r="C524" s="601"/>
      <c r="D524" s="601"/>
      <c r="E524" s="602"/>
      <c r="F524" s="602"/>
      <c r="G524" s="602"/>
      <c r="H524" s="602"/>
      <c r="I524" s="602"/>
      <c r="J524" s="602"/>
      <c r="K524" s="602"/>
      <c r="L524" s="602"/>
      <c r="M524" s="602"/>
      <c r="N524" s="602"/>
      <c r="O524" s="602"/>
      <c r="P524" s="602"/>
      <c r="Q524" s="602"/>
      <c r="R524" s="602"/>
    </row>
    <row r="525" spans="1:18" ht="12" customHeight="1">
      <c r="A525" s="609"/>
      <c r="B525" s="601"/>
      <c r="C525" s="601"/>
      <c r="D525" s="601"/>
      <c r="E525" s="602"/>
      <c r="F525" s="602"/>
      <c r="G525" s="602"/>
      <c r="H525" s="602"/>
      <c r="I525" s="602"/>
      <c r="J525" s="602"/>
      <c r="K525" s="602"/>
      <c r="L525" s="602"/>
      <c r="M525" s="602"/>
      <c r="N525" s="602"/>
      <c r="O525" s="602"/>
      <c r="P525" s="602"/>
      <c r="Q525" s="602"/>
      <c r="R525" s="602"/>
    </row>
    <row r="526" spans="1:18" ht="15.75" customHeight="1">
      <c r="A526" s="602"/>
      <c r="B526" s="602"/>
      <c r="C526" s="602"/>
      <c r="D526" s="602"/>
      <c r="E526" s="602"/>
      <c r="F526" s="602"/>
      <c r="G526" s="602"/>
      <c r="H526" s="602"/>
      <c r="I526" s="602"/>
      <c r="J526" s="602"/>
      <c r="K526" s="602"/>
      <c r="L526" s="602"/>
      <c r="M526" s="602"/>
      <c r="N526" s="602"/>
      <c r="O526" s="602"/>
      <c r="P526" s="602"/>
      <c r="Q526" s="602"/>
      <c r="R526" s="602"/>
    </row>
    <row r="527" spans="1:18" ht="15.75" customHeight="1">
      <c r="A527" s="602"/>
      <c r="B527" s="602"/>
      <c r="C527" s="602"/>
      <c r="D527" s="602"/>
      <c r="E527" s="602"/>
      <c r="F527" s="602"/>
      <c r="G527" s="602"/>
      <c r="H527" s="602"/>
      <c r="I527" s="602"/>
      <c r="J527" s="602"/>
      <c r="K527" s="602"/>
      <c r="L527" s="602"/>
      <c r="M527" s="602"/>
      <c r="N527" s="602"/>
      <c r="O527" s="602"/>
      <c r="P527" s="602"/>
      <c r="Q527" s="602"/>
      <c r="R527" s="602"/>
    </row>
    <row r="528" spans="1:18" ht="15.75" customHeight="1">
      <c r="A528" s="602"/>
      <c r="B528" s="602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02"/>
      <c r="P528" s="602"/>
      <c r="Q528" s="602"/>
      <c r="R528" s="602"/>
    </row>
    <row r="529" spans="1:18" ht="15.75" customHeight="1">
      <c r="A529" s="602"/>
      <c r="B529" s="602"/>
      <c r="C529" s="602"/>
      <c r="D529" s="602"/>
      <c r="E529" s="602"/>
      <c r="F529" s="602"/>
      <c r="G529" s="602"/>
      <c r="H529" s="602"/>
      <c r="I529" s="602"/>
      <c r="J529" s="602"/>
      <c r="K529" s="602"/>
      <c r="L529" s="602"/>
      <c r="M529" s="602"/>
      <c r="N529" s="602"/>
      <c r="O529" s="602"/>
      <c r="P529" s="602"/>
      <c r="Q529" s="602"/>
      <c r="R529" s="602"/>
    </row>
    <row r="530" spans="1:18" ht="15.75" customHeight="1">
      <c r="A530" s="602"/>
      <c r="B530" s="602"/>
      <c r="C530" s="602"/>
      <c r="D530" s="602"/>
      <c r="E530" s="602"/>
      <c r="F530" s="602"/>
      <c r="G530" s="602"/>
      <c r="H530" s="602"/>
      <c r="I530" s="602"/>
      <c r="J530" s="602"/>
      <c r="K530" s="602"/>
      <c r="L530" s="602"/>
      <c r="M530" s="602"/>
      <c r="N530" s="602"/>
      <c r="O530" s="602"/>
      <c r="P530" s="602"/>
      <c r="Q530" s="602"/>
      <c r="R530" s="602"/>
    </row>
    <row r="531" spans="1:18" ht="15.75" customHeight="1">
      <c r="A531" s="602"/>
      <c r="B531" s="602"/>
      <c r="C531" s="602"/>
      <c r="D531" s="602"/>
      <c r="E531" s="602"/>
      <c r="F531" s="602"/>
      <c r="G531" s="602"/>
      <c r="H531" s="602"/>
      <c r="I531" s="602"/>
      <c r="J531" s="602"/>
      <c r="K531" s="602"/>
      <c r="L531" s="602"/>
      <c r="M531" s="602"/>
      <c r="N531" s="602"/>
      <c r="O531" s="602"/>
      <c r="P531" s="602"/>
      <c r="Q531" s="602"/>
      <c r="R531" s="602"/>
    </row>
    <row r="532" spans="1:18" ht="15.75" customHeight="1">
      <c r="A532" s="602"/>
      <c r="B532" s="602"/>
      <c r="C532" s="602"/>
      <c r="D532" s="602"/>
      <c r="E532" s="602"/>
      <c r="F532" s="602"/>
      <c r="G532" s="602"/>
      <c r="H532" s="602"/>
      <c r="I532" s="602"/>
      <c r="J532" s="602"/>
      <c r="K532" s="602"/>
      <c r="L532" s="602"/>
      <c r="M532" s="602"/>
      <c r="N532" s="602"/>
      <c r="O532" s="602"/>
      <c r="P532" s="602"/>
      <c r="Q532" s="602"/>
      <c r="R532" s="602"/>
    </row>
    <row r="533" spans="1:18" ht="15.75" customHeight="1">
      <c r="A533" s="602"/>
      <c r="B533" s="602"/>
      <c r="C533" s="602"/>
      <c r="D533" s="602"/>
      <c r="E533" s="602"/>
      <c r="F533" s="602"/>
      <c r="G533" s="602"/>
      <c r="H533" s="602"/>
      <c r="I533" s="602"/>
      <c r="J533" s="602"/>
      <c r="K533" s="602"/>
      <c r="L533" s="602"/>
      <c r="M533" s="602"/>
      <c r="N533" s="602"/>
      <c r="O533" s="602"/>
      <c r="P533" s="602"/>
      <c r="Q533" s="602"/>
      <c r="R533" s="602"/>
    </row>
    <row r="534" spans="1:18" ht="15.75" customHeight="1">
      <c r="A534" s="602"/>
      <c r="B534" s="602"/>
      <c r="C534" s="602"/>
      <c r="D534" s="602"/>
      <c r="E534" s="602"/>
      <c r="F534" s="602"/>
      <c r="G534" s="602"/>
      <c r="H534" s="602"/>
      <c r="I534" s="602"/>
      <c r="J534" s="602"/>
      <c r="K534" s="602"/>
      <c r="L534" s="602"/>
      <c r="M534" s="602"/>
      <c r="N534" s="602"/>
      <c r="O534" s="602"/>
      <c r="P534" s="602"/>
      <c r="Q534" s="602"/>
      <c r="R534" s="602"/>
    </row>
    <row r="535" spans="1:18" ht="15.75" customHeight="1">
      <c r="A535" s="602"/>
      <c r="B535" s="602"/>
      <c r="C535" s="602"/>
      <c r="D535" s="602"/>
      <c r="E535" s="602"/>
      <c r="F535" s="602"/>
      <c r="G535" s="602"/>
      <c r="H535" s="602"/>
      <c r="I535" s="602"/>
      <c r="J535" s="602"/>
      <c r="K535" s="602"/>
      <c r="L535" s="602"/>
      <c r="M535" s="602"/>
      <c r="N535" s="602"/>
      <c r="O535" s="602"/>
      <c r="P535" s="602"/>
      <c r="Q535" s="602"/>
      <c r="R535" s="602"/>
    </row>
    <row r="536" spans="1:18" ht="15.75" customHeight="1">
      <c r="A536" s="602"/>
      <c r="B536" s="602"/>
      <c r="C536" s="602"/>
      <c r="D536" s="602"/>
      <c r="E536" s="602"/>
      <c r="F536" s="602"/>
      <c r="G536" s="602"/>
      <c r="H536" s="602"/>
      <c r="I536" s="602"/>
      <c r="J536" s="602"/>
      <c r="K536" s="602"/>
      <c r="L536" s="602"/>
      <c r="M536" s="602"/>
      <c r="N536" s="602"/>
      <c r="O536" s="602"/>
      <c r="P536" s="602"/>
      <c r="Q536" s="602"/>
      <c r="R536" s="602"/>
    </row>
    <row r="537" spans="1:18" ht="15.75" customHeight="1">
      <c r="A537" s="602"/>
      <c r="B537" s="602"/>
      <c r="C537" s="602"/>
      <c r="D537" s="602"/>
      <c r="E537" s="602"/>
      <c r="F537" s="602"/>
      <c r="G537" s="602"/>
      <c r="H537" s="602"/>
      <c r="I537" s="602"/>
      <c r="J537" s="602"/>
      <c r="K537" s="602"/>
      <c r="L537" s="602"/>
      <c r="M537" s="602"/>
      <c r="N537" s="602"/>
      <c r="O537" s="602"/>
      <c r="P537" s="602"/>
      <c r="Q537" s="602"/>
      <c r="R537" s="602"/>
    </row>
    <row r="538" spans="1:18" ht="15.75" customHeight="1">
      <c r="A538" s="602"/>
      <c r="B538" s="602"/>
      <c r="C538" s="602"/>
      <c r="D538" s="602"/>
      <c r="E538" s="602"/>
      <c r="F538" s="602"/>
      <c r="G538" s="602"/>
      <c r="H538" s="602"/>
      <c r="I538" s="602"/>
      <c r="J538" s="602"/>
      <c r="K538" s="602"/>
      <c r="L538" s="602"/>
      <c r="M538" s="602"/>
      <c r="N538" s="602"/>
      <c r="O538" s="602"/>
      <c r="P538" s="602"/>
      <c r="Q538" s="602"/>
      <c r="R538" s="602"/>
    </row>
    <row r="539" spans="1:18" ht="15.75" customHeight="1">
      <c r="A539" s="602"/>
      <c r="B539" s="602"/>
      <c r="C539" s="602"/>
      <c r="D539" s="602"/>
      <c r="E539" s="602"/>
      <c r="F539" s="602"/>
      <c r="G539" s="602"/>
      <c r="H539" s="602"/>
      <c r="I539" s="602"/>
      <c r="J539" s="602"/>
      <c r="K539" s="602"/>
      <c r="L539" s="602"/>
      <c r="M539" s="602"/>
      <c r="N539" s="602"/>
      <c r="O539" s="602"/>
      <c r="P539" s="602"/>
      <c r="Q539" s="602"/>
      <c r="R539" s="602"/>
    </row>
    <row r="540" spans="1:18" ht="15.75" customHeight="1">
      <c r="A540" s="602"/>
      <c r="B540" s="602"/>
      <c r="C540" s="602"/>
      <c r="D540" s="602"/>
      <c r="E540" s="602"/>
      <c r="F540" s="602"/>
      <c r="G540" s="602"/>
      <c r="H540" s="602"/>
      <c r="I540" s="602"/>
      <c r="J540" s="602"/>
      <c r="K540" s="602"/>
      <c r="L540" s="602"/>
      <c r="M540" s="602"/>
      <c r="N540" s="602"/>
      <c r="O540" s="602"/>
      <c r="P540" s="602"/>
      <c r="Q540" s="602"/>
      <c r="R540" s="602"/>
    </row>
    <row r="541" spans="1:18" ht="15.75" customHeight="1">
      <c r="A541" s="602"/>
      <c r="B541" s="602"/>
      <c r="C541" s="602"/>
      <c r="D541" s="602"/>
      <c r="E541" s="602"/>
      <c r="F541" s="602"/>
      <c r="G541" s="602"/>
      <c r="H541" s="602"/>
      <c r="I541" s="602"/>
      <c r="J541" s="602"/>
      <c r="K541" s="602"/>
      <c r="L541" s="602"/>
      <c r="M541" s="602"/>
      <c r="N541" s="602"/>
      <c r="O541" s="602"/>
      <c r="P541" s="602"/>
      <c r="Q541" s="602"/>
      <c r="R541" s="602"/>
    </row>
    <row r="542" spans="1:18" ht="15.75" customHeight="1">
      <c r="A542" s="602"/>
      <c r="B542" s="602"/>
      <c r="C542" s="602"/>
      <c r="D542" s="602"/>
      <c r="E542" s="602"/>
      <c r="F542" s="602"/>
      <c r="G542" s="602"/>
      <c r="H542" s="602"/>
      <c r="I542" s="602"/>
      <c r="J542" s="602"/>
      <c r="K542" s="602"/>
      <c r="L542" s="602"/>
      <c r="M542" s="602"/>
      <c r="N542" s="602"/>
      <c r="O542" s="602"/>
      <c r="P542" s="602"/>
      <c r="Q542" s="602"/>
      <c r="R542" s="602"/>
    </row>
    <row r="543" spans="1:18" ht="15.75" customHeight="1">
      <c r="A543" s="602"/>
      <c r="B543" s="602"/>
      <c r="C543" s="602"/>
      <c r="D543" s="602"/>
      <c r="E543" s="602"/>
      <c r="F543" s="602"/>
      <c r="G543" s="602"/>
      <c r="H543" s="602"/>
      <c r="I543" s="602"/>
      <c r="J543" s="602"/>
      <c r="K543" s="602"/>
      <c r="L543" s="602"/>
      <c r="M543" s="602"/>
      <c r="N543" s="602"/>
      <c r="O543" s="602"/>
      <c r="P543" s="602"/>
      <c r="Q543" s="602"/>
      <c r="R543" s="602"/>
    </row>
    <row r="544" spans="1:18" ht="15.75" customHeight="1">
      <c r="A544" s="602"/>
      <c r="B544" s="602"/>
      <c r="C544" s="602"/>
      <c r="D544" s="602"/>
      <c r="E544" s="602"/>
      <c r="F544" s="602"/>
      <c r="G544" s="602"/>
      <c r="H544" s="602"/>
      <c r="I544" s="602"/>
      <c r="J544" s="602"/>
      <c r="K544" s="602"/>
      <c r="L544" s="602"/>
      <c r="M544" s="602"/>
      <c r="N544" s="602"/>
      <c r="O544" s="602"/>
      <c r="P544" s="602"/>
      <c r="Q544" s="602"/>
      <c r="R544" s="602"/>
    </row>
    <row r="545" spans="1:18" ht="15.75" customHeight="1">
      <c r="A545" s="602"/>
      <c r="B545" s="602"/>
      <c r="C545" s="602"/>
      <c r="D545" s="602"/>
      <c r="E545" s="602"/>
      <c r="F545" s="602"/>
      <c r="G545" s="602"/>
      <c r="H545" s="602"/>
      <c r="I545" s="602"/>
      <c r="J545" s="602"/>
      <c r="K545" s="602"/>
      <c r="L545" s="602"/>
      <c r="M545" s="602"/>
      <c r="N545" s="602"/>
      <c r="O545" s="602"/>
      <c r="P545" s="602"/>
      <c r="Q545" s="602"/>
      <c r="R545" s="602"/>
    </row>
    <row r="546" spans="1:18" ht="15.75" customHeight="1">
      <c r="A546" s="602"/>
      <c r="B546" s="602"/>
      <c r="C546" s="602"/>
      <c r="D546" s="602"/>
      <c r="E546" s="602"/>
      <c r="F546" s="602"/>
      <c r="G546" s="602"/>
      <c r="H546" s="602"/>
      <c r="I546" s="602"/>
      <c r="J546" s="602"/>
      <c r="K546" s="602"/>
      <c r="L546" s="602"/>
      <c r="M546" s="602"/>
      <c r="N546" s="602"/>
      <c r="O546" s="602"/>
      <c r="P546" s="602"/>
      <c r="Q546" s="602"/>
      <c r="R546" s="602"/>
    </row>
    <row r="547" spans="1:18" ht="15.75" customHeight="1">
      <c r="A547" s="602"/>
      <c r="B547" s="602"/>
      <c r="C547" s="602"/>
      <c r="D547" s="602"/>
      <c r="E547" s="602"/>
      <c r="F547" s="602"/>
      <c r="G547" s="602"/>
      <c r="H547" s="602"/>
      <c r="I547" s="602"/>
      <c r="J547" s="602"/>
      <c r="K547" s="602"/>
      <c r="L547" s="602"/>
      <c r="M547" s="602"/>
      <c r="N547" s="602"/>
      <c r="O547" s="602"/>
      <c r="P547" s="602"/>
      <c r="Q547" s="602"/>
      <c r="R547" s="602"/>
    </row>
    <row r="548" spans="1:18" ht="15.75" customHeight="1">
      <c r="A548" s="602"/>
      <c r="B548" s="602"/>
      <c r="C548" s="602"/>
      <c r="D548" s="602"/>
      <c r="E548" s="602"/>
      <c r="F548" s="602"/>
      <c r="G548" s="602"/>
      <c r="H548" s="602"/>
      <c r="I548" s="602"/>
      <c r="J548" s="602"/>
      <c r="K548" s="602"/>
      <c r="L548" s="602"/>
      <c r="M548" s="602"/>
      <c r="N548" s="602"/>
      <c r="O548" s="602"/>
      <c r="P548" s="602"/>
      <c r="Q548" s="602"/>
      <c r="R548" s="602"/>
    </row>
    <row r="549" spans="1:18" ht="15.75" customHeight="1">
      <c r="A549" s="602"/>
      <c r="B549" s="602"/>
      <c r="C549" s="602"/>
      <c r="D549" s="602"/>
      <c r="E549" s="602"/>
      <c r="F549" s="602"/>
      <c r="G549" s="602"/>
      <c r="H549" s="602"/>
      <c r="I549" s="602"/>
      <c r="J549" s="602"/>
      <c r="K549" s="602"/>
      <c r="L549" s="602"/>
      <c r="M549" s="602"/>
      <c r="N549" s="602"/>
      <c r="O549" s="602"/>
      <c r="P549" s="602"/>
      <c r="Q549" s="602"/>
      <c r="R549" s="602"/>
    </row>
    <row r="550" spans="1:18" ht="15.75" customHeight="1">
      <c r="A550" s="602"/>
      <c r="B550" s="602"/>
      <c r="C550" s="602"/>
      <c r="D550" s="602"/>
      <c r="E550" s="602"/>
      <c r="F550" s="602"/>
      <c r="G550" s="602"/>
      <c r="H550" s="602"/>
      <c r="I550" s="602"/>
      <c r="J550" s="602"/>
      <c r="K550" s="602"/>
      <c r="L550" s="602"/>
      <c r="M550" s="602"/>
      <c r="N550" s="602"/>
      <c r="O550" s="602"/>
      <c r="P550" s="602"/>
      <c r="Q550" s="602"/>
      <c r="R550" s="602"/>
    </row>
    <row r="551" spans="1:18" ht="15.75" customHeight="1">
      <c r="A551" s="602"/>
      <c r="B551" s="602"/>
      <c r="C551" s="602"/>
      <c r="D551" s="602"/>
      <c r="E551" s="602"/>
      <c r="F551" s="602"/>
      <c r="G551" s="602"/>
      <c r="H551" s="602"/>
      <c r="I551" s="602"/>
      <c r="J551" s="602"/>
      <c r="K551" s="602"/>
      <c r="L551" s="602"/>
      <c r="M551" s="602"/>
      <c r="N551" s="602"/>
      <c r="O551" s="602"/>
      <c r="P551" s="602"/>
      <c r="Q551" s="602"/>
      <c r="R551" s="602"/>
    </row>
    <row r="552" spans="1:18" ht="15.75" customHeight="1">
      <c r="A552" s="602"/>
      <c r="B552" s="602"/>
      <c r="C552" s="602"/>
      <c r="D552" s="602"/>
      <c r="E552" s="602"/>
      <c r="F552" s="602"/>
      <c r="G552" s="602"/>
      <c r="H552" s="602"/>
      <c r="I552" s="602"/>
      <c r="J552" s="602"/>
      <c r="K552" s="602"/>
      <c r="L552" s="602"/>
      <c r="M552" s="602"/>
      <c r="N552" s="602"/>
      <c r="O552" s="602"/>
      <c r="P552" s="602"/>
      <c r="Q552" s="602"/>
      <c r="R552" s="602"/>
    </row>
    <row r="553" spans="1:18" ht="15.75" customHeight="1">
      <c r="A553" s="602"/>
      <c r="B553" s="602"/>
      <c r="C553" s="602"/>
      <c r="D553" s="602"/>
      <c r="E553" s="602"/>
      <c r="F553" s="602"/>
      <c r="G553" s="602"/>
      <c r="H553" s="602"/>
      <c r="I553" s="602"/>
      <c r="J553" s="602"/>
      <c r="K553" s="602"/>
      <c r="L553" s="602"/>
      <c r="M553" s="602"/>
      <c r="N553" s="602"/>
      <c r="O553" s="602"/>
      <c r="P553" s="602"/>
      <c r="Q553" s="602"/>
      <c r="R553" s="602"/>
    </row>
    <row r="554" spans="1:18" ht="15.75" customHeight="1">
      <c r="A554" s="602"/>
      <c r="B554" s="602"/>
      <c r="C554" s="602"/>
      <c r="D554" s="602"/>
      <c r="E554" s="602"/>
      <c r="F554" s="602"/>
      <c r="G554" s="602"/>
      <c r="H554" s="602"/>
      <c r="I554" s="602"/>
      <c r="J554" s="602"/>
      <c r="K554" s="602"/>
      <c r="L554" s="602"/>
      <c r="M554" s="602"/>
      <c r="N554" s="602"/>
      <c r="O554" s="602"/>
      <c r="P554" s="602"/>
      <c r="Q554" s="602"/>
      <c r="R554" s="602"/>
    </row>
    <row r="555" spans="1:18" ht="15.75" customHeight="1">
      <c r="A555" s="602"/>
      <c r="B555" s="602"/>
      <c r="C555" s="602"/>
      <c r="D555" s="602"/>
      <c r="E555" s="602"/>
      <c r="F555" s="602"/>
      <c r="G555" s="602"/>
      <c r="H555" s="602"/>
      <c r="I555" s="602"/>
      <c r="J555" s="602"/>
      <c r="K555" s="602"/>
      <c r="L555" s="602"/>
      <c r="M555" s="602"/>
      <c r="N555" s="602"/>
      <c r="O555" s="602"/>
      <c r="P555" s="602"/>
      <c r="Q555" s="602"/>
      <c r="R555" s="602"/>
    </row>
    <row r="556" spans="1:18" ht="15.75" customHeight="1">
      <c r="A556" s="602"/>
      <c r="B556" s="602"/>
      <c r="C556" s="602"/>
      <c r="D556" s="602"/>
      <c r="E556" s="602"/>
      <c r="F556" s="602"/>
      <c r="G556" s="602"/>
      <c r="H556" s="602"/>
      <c r="I556" s="602"/>
      <c r="J556" s="602"/>
      <c r="K556" s="602"/>
      <c r="L556" s="602"/>
      <c r="M556" s="602"/>
      <c r="N556" s="602"/>
      <c r="O556" s="602"/>
      <c r="P556" s="602"/>
      <c r="Q556" s="602"/>
      <c r="R556" s="602"/>
    </row>
    <row r="557" spans="1:18" ht="15.75" customHeight="1">
      <c r="A557" s="602"/>
      <c r="B557" s="602"/>
      <c r="C557" s="602"/>
      <c r="D557" s="602"/>
      <c r="E557" s="602"/>
      <c r="F557" s="602"/>
      <c r="G557" s="602"/>
      <c r="H557" s="602"/>
      <c r="I557" s="602"/>
      <c r="J557" s="602"/>
      <c r="K557" s="602"/>
      <c r="L557" s="602"/>
      <c r="M557" s="602"/>
      <c r="N557" s="602"/>
      <c r="O557" s="602"/>
      <c r="P557" s="602"/>
      <c r="Q557" s="602"/>
      <c r="R557" s="602"/>
    </row>
    <row r="558" spans="1:18" ht="15.75" customHeight="1">
      <c r="A558" s="602"/>
      <c r="B558" s="602"/>
      <c r="C558" s="602"/>
      <c r="D558" s="602"/>
      <c r="E558" s="602"/>
      <c r="F558" s="602"/>
      <c r="G558" s="602"/>
      <c r="H558" s="602"/>
      <c r="I558" s="602"/>
      <c r="J558" s="602"/>
      <c r="K558" s="602"/>
      <c r="L558" s="602"/>
      <c r="M558" s="602"/>
      <c r="N558" s="602"/>
      <c r="O558" s="602"/>
      <c r="P558" s="602"/>
      <c r="Q558" s="602"/>
      <c r="R558" s="602"/>
    </row>
    <row r="559" spans="1:18" ht="15.75" customHeight="1">
      <c r="A559" s="602"/>
      <c r="B559" s="602"/>
      <c r="C559" s="602"/>
      <c r="D559" s="602"/>
      <c r="E559" s="602"/>
      <c r="F559" s="602"/>
      <c r="G559" s="602"/>
      <c r="H559" s="602"/>
      <c r="I559" s="602"/>
      <c r="J559" s="602"/>
      <c r="K559" s="602"/>
      <c r="L559" s="602"/>
      <c r="M559" s="602"/>
      <c r="N559" s="602"/>
      <c r="O559" s="602"/>
      <c r="P559" s="602"/>
      <c r="Q559" s="602"/>
      <c r="R559" s="602"/>
    </row>
    <row r="560" spans="1:18" ht="15.75" customHeight="1">
      <c r="A560" s="602"/>
      <c r="B560" s="602"/>
      <c r="C560" s="602"/>
      <c r="D560" s="602"/>
      <c r="E560" s="602"/>
      <c r="F560" s="602"/>
      <c r="G560" s="602"/>
      <c r="H560" s="602"/>
      <c r="I560" s="602"/>
      <c r="J560" s="602"/>
      <c r="K560" s="602"/>
      <c r="L560" s="602"/>
      <c r="M560" s="602"/>
      <c r="N560" s="602"/>
      <c r="O560" s="602"/>
      <c r="P560" s="602"/>
      <c r="Q560" s="602"/>
      <c r="R560" s="602"/>
    </row>
    <row r="561" spans="1:18" ht="15.75" customHeight="1">
      <c r="A561" s="602"/>
      <c r="B561" s="602"/>
      <c r="C561" s="602"/>
      <c r="D561" s="602"/>
      <c r="E561" s="602"/>
      <c r="F561" s="602"/>
      <c r="G561" s="602"/>
      <c r="H561" s="602"/>
      <c r="I561" s="602"/>
      <c r="J561" s="602"/>
      <c r="K561" s="602"/>
      <c r="L561" s="602"/>
      <c r="M561" s="602"/>
      <c r="N561" s="602"/>
      <c r="O561" s="602"/>
      <c r="P561" s="602"/>
      <c r="Q561" s="602"/>
      <c r="R561" s="602"/>
    </row>
    <row r="562" spans="1:18" ht="15.75" customHeight="1">
      <c r="A562" s="602"/>
      <c r="B562" s="602"/>
      <c r="C562" s="602"/>
      <c r="D562" s="602"/>
      <c r="E562" s="602"/>
      <c r="F562" s="602"/>
      <c r="G562" s="602"/>
      <c r="H562" s="602"/>
      <c r="I562" s="602"/>
      <c r="J562" s="602"/>
      <c r="K562" s="602"/>
      <c r="L562" s="602"/>
      <c r="M562" s="602"/>
      <c r="N562" s="602"/>
      <c r="O562" s="602"/>
      <c r="P562" s="602"/>
      <c r="Q562" s="602"/>
      <c r="R562" s="602"/>
    </row>
    <row r="563" spans="1:18" ht="15.75" customHeight="1">
      <c r="A563" s="602"/>
      <c r="B563" s="602"/>
      <c r="C563" s="602"/>
      <c r="D563" s="602"/>
      <c r="E563" s="602"/>
      <c r="F563" s="602"/>
      <c r="G563" s="602"/>
      <c r="H563" s="602"/>
      <c r="I563" s="602"/>
      <c r="J563" s="602"/>
      <c r="K563" s="602"/>
      <c r="L563" s="602"/>
      <c r="M563" s="602"/>
      <c r="N563" s="602"/>
      <c r="O563" s="602"/>
      <c r="P563" s="602"/>
      <c r="Q563" s="602"/>
      <c r="R563" s="602"/>
    </row>
    <row r="564" spans="1:18" ht="15.75" customHeight="1">
      <c r="A564" s="602"/>
      <c r="B564" s="602"/>
      <c r="C564" s="602"/>
      <c r="D564" s="602"/>
      <c r="E564" s="602"/>
      <c r="F564" s="602"/>
      <c r="G564" s="602"/>
      <c r="H564" s="602"/>
      <c r="I564" s="602"/>
      <c r="J564" s="602"/>
      <c r="K564" s="602"/>
      <c r="L564" s="602"/>
      <c r="M564" s="602"/>
      <c r="N564" s="602"/>
      <c r="O564" s="602"/>
      <c r="P564" s="602"/>
      <c r="Q564" s="602"/>
      <c r="R564" s="602"/>
    </row>
    <row r="565" spans="1:18" ht="15.75" customHeight="1">
      <c r="A565" s="602"/>
      <c r="B565" s="602"/>
      <c r="C565" s="602"/>
      <c r="D565" s="602"/>
      <c r="E565" s="602"/>
      <c r="F565" s="602"/>
      <c r="G565" s="602"/>
      <c r="H565" s="602"/>
      <c r="I565" s="602"/>
      <c r="J565" s="602"/>
      <c r="K565" s="602"/>
      <c r="L565" s="602"/>
      <c r="M565" s="602"/>
      <c r="N565" s="602"/>
      <c r="O565" s="602"/>
      <c r="P565" s="602"/>
      <c r="Q565" s="602"/>
      <c r="R565" s="602"/>
    </row>
    <row r="566" spans="1:18" ht="15.75" customHeight="1">
      <c r="A566" s="602"/>
      <c r="B566" s="602"/>
      <c r="C566" s="602"/>
      <c r="D566" s="602"/>
      <c r="E566" s="602"/>
      <c r="F566" s="602"/>
      <c r="G566" s="602"/>
      <c r="H566" s="602"/>
      <c r="I566" s="602"/>
      <c r="J566" s="602"/>
      <c r="K566" s="602"/>
      <c r="L566" s="602"/>
      <c r="M566" s="602"/>
      <c r="N566" s="602"/>
      <c r="O566" s="602"/>
      <c r="P566" s="602"/>
      <c r="Q566" s="602"/>
      <c r="R566" s="602"/>
    </row>
    <row r="567" spans="1:18" ht="15.75" customHeight="1">
      <c r="A567" s="602"/>
      <c r="B567" s="602"/>
      <c r="C567" s="602"/>
      <c r="D567" s="602"/>
      <c r="E567" s="602"/>
      <c r="F567" s="602"/>
      <c r="G567" s="602"/>
      <c r="H567" s="602"/>
      <c r="I567" s="602"/>
      <c r="J567" s="602"/>
      <c r="K567" s="602"/>
      <c r="L567" s="602"/>
      <c r="M567" s="602"/>
      <c r="N567" s="602"/>
      <c r="O567" s="602"/>
      <c r="P567" s="602"/>
      <c r="Q567" s="602"/>
      <c r="R567" s="602"/>
    </row>
    <row r="568" spans="1:18" ht="15.75" customHeight="1">
      <c r="A568" s="602"/>
      <c r="B568" s="602"/>
      <c r="C568" s="602"/>
      <c r="D568" s="602"/>
      <c r="E568" s="602"/>
      <c r="F568" s="602"/>
      <c r="G568" s="602"/>
      <c r="H568" s="602"/>
      <c r="I568" s="602"/>
      <c r="J568" s="602"/>
      <c r="K568" s="602"/>
      <c r="L568" s="602"/>
      <c r="M568" s="602"/>
      <c r="N568" s="602"/>
      <c r="O568" s="602"/>
      <c r="P568" s="602"/>
      <c r="Q568" s="602"/>
      <c r="R568" s="602"/>
    </row>
    <row r="569" spans="1:18" ht="15.75" customHeight="1">
      <c r="A569" s="602"/>
      <c r="B569" s="602"/>
      <c r="C569" s="602"/>
      <c r="D569" s="602"/>
      <c r="E569" s="602"/>
      <c r="F569" s="602"/>
      <c r="G569" s="602"/>
      <c r="H569" s="602"/>
      <c r="I569" s="602"/>
      <c r="J569" s="602"/>
      <c r="K569" s="602"/>
      <c r="L569" s="602"/>
      <c r="M569" s="602"/>
      <c r="N569" s="602"/>
      <c r="O569" s="602"/>
      <c r="P569" s="602"/>
      <c r="Q569" s="602"/>
      <c r="R569" s="602"/>
    </row>
    <row r="570" spans="1:18" ht="15.75" customHeight="1">
      <c r="A570" s="602"/>
      <c r="B570" s="602"/>
      <c r="C570" s="602"/>
      <c r="D570" s="602"/>
      <c r="E570" s="602"/>
      <c r="F570" s="602"/>
      <c r="G570" s="602"/>
      <c r="H570" s="602"/>
      <c r="I570" s="602"/>
      <c r="J570" s="602"/>
      <c r="K570" s="602"/>
      <c r="L570" s="602"/>
      <c r="M570" s="602"/>
      <c r="N570" s="602"/>
      <c r="O570" s="602"/>
      <c r="P570" s="602"/>
      <c r="Q570" s="602"/>
      <c r="R570" s="602"/>
    </row>
    <row r="571" spans="1:18" ht="15.75" customHeight="1">
      <c r="A571" s="602"/>
      <c r="B571" s="602"/>
      <c r="C571" s="602"/>
      <c r="D571" s="602"/>
      <c r="E571" s="602"/>
      <c r="F571" s="602"/>
      <c r="G571" s="602"/>
      <c r="H571" s="602"/>
      <c r="I571" s="602"/>
      <c r="J571" s="602"/>
      <c r="K571" s="602"/>
      <c r="L571" s="602"/>
      <c r="M571" s="602"/>
      <c r="N571" s="602"/>
      <c r="O571" s="602"/>
      <c r="P571" s="602"/>
      <c r="Q571" s="602"/>
      <c r="R571" s="602"/>
    </row>
    <row r="572" spans="1:18" ht="15.75" customHeight="1">
      <c r="A572" s="602"/>
      <c r="B572" s="602"/>
      <c r="C572" s="602"/>
      <c r="D572" s="602"/>
      <c r="E572" s="602"/>
      <c r="F572" s="602"/>
      <c r="G572" s="602"/>
      <c r="H572" s="602"/>
      <c r="I572" s="602"/>
      <c r="J572" s="602"/>
      <c r="K572" s="602"/>
      <c r="L572" s="602"/>
      <c r="M572" s="602"/>
      <c r="N572" s="602"/>
      <c r="O572" s="602"/>
      <c r="P572" s="602"/>
      <c r="Q572" s="602"/>
      <c r="R572" s="602"/>
    </row>
    <row r="573" spans="1:18" ht="15.75" customHeight="1">
      <c r="A573" s="602"/>
      <c r="B573" s="602"/>
      <c r="C573" s="602"/>
      <c r="D573" s="602"/>
      <c r="E573" s="602"/>
      <c r="F573" s="602"/>
      <c r="G573" s="602"/>
      <c r="H573" s="602"/>
      <c r="I573" s="602"/>
      <c r="J573" s="602"/>
      <c r="K573" s="602"/>
      <c r="L573" s="602"/>
      <c r="M573" s="602"/>
      <c r="N573" s="602"/>
      <c r="O573" s="602"/>
      <c r="P573" s="602"/>
      <c r="Q573" s="602"/>
      <c r="R573" s="602"/>
    </row>
    <row r="574" spans="1:18" ht="15.75" customHeight="1">
      <c r="A574" s="602"/>
      <c r="B574" s="602"/>
      <c r="C574" s="602"/>
      <c r="D574" s="602"/>
      <c r="E574" s="602"/>
      <c r="F574" s="602"/>
      <c r="G574" s="602"/>
      <c r="H574" s="602"/>
      <c r="I574" s="602"/>
      <c r="J574" s="602"/>
      <c r="K574" s="602"/>
      <c r="L574" s="602"/>
      <c r="M574" s="602"/>
      <c r="N574" s="602"/>
      <c r="O574" s="602"/>
      <c r="P574" s="602"/>
      <c r="Q574" s="602"/>
      <c r="R574" s="602"/>
    </row>
    <row r="575" spans="1:18" ht="15.75" customHeight="1">
      <c r="A575" s="602"/>
      <c r="B575" s="602"/>
      <c r="C575" s="602"/>
      <c r="D575" s="602"/>
      <c r="E575" s="602"/>
      <c r="F575" s="602"/>
      <c r="G575" s="602"/>
      <c r="H575" s="602"/>
      <c r="I575" s="602"/>
      <c r="J575" s="602"/>
      <c r="K575" s="602"/>
      <c r="L575" s="602"/>
      <c r="M575" s="602"/>
      <c r="N575" s="602"/>
      <c r="O575" s="602"/>
      <c r="P575" s="602"/>
      <c r="Q575" s="602"/>
      <c r="R575" s="602"/>
    </row>
    <row r="576" spans="1:18" ht="15.75" customHeight="1">
      <c r="A576" s="602"/>
      <c r="B576" s="602"/>
      <c r="C576" s="602"/>
      <c r="D576" s="602"/>
      <c r="E576" s="602"/>
      <c r="F576" s="602"/>
      <c r="G576" s="602"/>
      <c r="H576" s="602"/>
      <c r="I576" s="602"/>
      <c r="J576" s="602"/>
      <c r="K576" s="602"/>
      <c r="L576" s="602"/>
      <c r="M576" s="602"/>
      <c r="N576" s="602"/>
      <c r="O576" s="602"/>
      <c r="P576" s="602"/>
      <c r="Q576" s="602"/>
      <c r="R576" s="602"/>
    </row>
    <row r="577" spans="1:18" ht="15.75" customHeight="1">
      <c r="A577" s="602"/>
      <c r="B577" s="602"/>
      <c r="C577" s="602"/>
      <c r="D577" s="602"/>
      <c r="E577" s="602"/>
      <c r="F577" s="602"/>
      <c r="G577" s="602"/>
      <c r="H577" s="602"/>
      <c r="I577" s="602"/>
      <c r="J577" s="602"/>
      <c r="K577" s="602"/>
      <c r="L577" s="602"/>
      <c r="M577" s="602"/>
      <c r="N577" s="602"/>
      <c r="O577" s="602"/>
      <c r="P577" s="602"/>
      <c r="Q577" s="602"/>
      <c r="R577" s="602"/>
    </row>
    <row r="578" spans="1:18" ht="15.75" customHeight="1">
      <c r="A578" s="602"/>
      <c r="B578" s="602"/>
      <c r="C578" s="602"/>
      <c r="D578" s="602"/>
      <c r="E578" s="602"/>
      <c r="F578" s="602"/>
      <c r="G578" s="602"/>
      <c r="H578" s="602"/>
      <c r="I578" s="602"/>
      <c r="J578" s="602"/>
      <c r="K578" s="602"/>
      <c r="L578" s="602"/>
      <c r="M578" s="602"/>
      <c r="N578" s="602"/>
      <c r="O578" s="602"/>
      <c r="P578" s="602"/>
      <c r="Q578" s="602"/>
      <c r="R578" s="602"/>
    </row>
    <row r="579" spans="1:18" ht="15.75" customHeight="1">
      <c r="A579" s="602"/>
      <c r="B579" s="602"/>
      <c r="C579" s="602"/>
      <c r="D579" s="602"/>
      <c r="E579" s="602"/>
      <c r="F579" s="602"/>
      <c r="G579" s="602"/>
      <c r="H579" s="602"/>
      <c r="I579" s="602"/>
      <c r="J579" s="602"/>
      <c r="K579" s="602"/>
      <c r="L579" s="602"/>
      <c r="M579" s="602"/>
      <c r="N579" s="602"/>
      <c r="O579" s="602"/>
      <c r="P579" s="602"/>
      <c r="Q579" s="602"/>
      <c r="R579" s="602"/>
    </row>
    <row r="580" spans="1:18" ht="15.75" customHeight="1">
      <c r="A580" s="602"/>
      <c r="B580" s="602"/>
      <c r="C580" s="602"/>
      <c r="D580" s="602"/>
      <c r="E580" s="602"/>
      <c r="F580" s="602"/>
      <c r="G580" s="602"/>
      <c r="H580" s="602"/>
      <c r="I580" s="602"/>
      <c r="J580" s="602"/>
      <c r="K580" s="602"/>
      <c r="L580" s="602"/>
      <c r="M580" s="602"/>
      <c r="N580" s="602"/>
      <c r="O580" s="602"/>
      <c r="P580" s="602"/>
      <c r="Q580" s="602"/>
      <c r="R580" s="602"/>
    </row>
    <row r="581" spans="1:18" ht="15.75" customHeight="1">
      <c r="A581" s="602"/>
      <c r="B581" s="602"/>
      <c r="C581" s="602"/>
      <c r="D581" s="602"/>
      <c r="E581" s="602"/>
      <c r="F581" s="602"/>
      <c r="G581" s="602"/>
      <c r="H581" s="602"/>
      <c r="I581" s="602"/>
      <c r="J581" s="602"/>
      <c r="K581" s="602"/>
      <c r="L581" s="602"/>
      <c r="M581" s="602"/>
      <c r="N581" s="602"/>
      <c r="O581" s="602"/>
      <c r="P581" s="602"/>
      <c r="Q581" s="602"/>
      <c r="R581" s="602"/>
    </row>
    <row r="582" spans="1:18" ht="15.75" customHeight="1">
      <c r="A582" s="602"/>
      <c r="B582" s="602"/>
      <c r="C582" s="602"/>
      <c r="D582" s="602"/>
      <c r="E582" s="602"/>
      <c r="F582" s="602"/>
      <c r="G582" s="602"/>
      <c r="H582" s="602"/>
      <c r="I582" s="602"/>
      <c r="J582" s="602"/>
      <c r="K582" s="602"/>
      <c r="L582" s="602"/>
      <c r="M582" s="602"/>
      <c r="N582" s="602"/>
      <c r="O582" s="602"/>
      <c r="P582" s="602"/>
      <c r="Q582" s="602"/>
      <c r="R582" s="602"/>
    </row>
    <row r="583" spans="1:18" ht="15.75" customHeight="1">
      <c r="A583" s="602"/>
      <c r="B583" s="602"/>
      <c r="C583" s="602"/>
      <c r="D583" s="602"/>
      <c r="E583" s="602"/>
      <c r="F583" s="602"/>
      <c r="G583" s="602"/>
      <c r="H583" s="602"/>
      <c r="I583" s="602"/>
      <c r="J583" s="602"/>
      <c r="K583" s="602"/>
      <c r="L583" s="602"/>
      <c r="M583" s="602"/>
      <c r="N583" s="602"/>
      <c r="O583" s="602"/>
      <c r="P583" s="602"/>
      <c r="Q583" s="602"/>
      <c r="R583" s="602"/>
    </row>
    <row r="584" spans="1:18" ht="15.75" customHeight="1">
      <c r="A584" s="602"/>
      <c r="B584" s="602"/>
      <c r="C584" s="602"/>
      <c r="D584" s="602"/>
      <c r="E584" s="602"/>
      <c r="F584" s="602"/>
      <c r="G584" s="602"/>
      <c r="H584" s="602"/>
      <c r="I584" s="602"/>
      <c r="J584" s="602"/>
      <c r="K584" s="602"/>
      <c r="L584" s="602"/>
      <c r="M584" s="602"/>
      <c r="N584" s="602"/>
      <c r="O584" s="602"/>
      <c r="P584" s="602"/>
      <c r="Q584" s="602"/>
      <c r="R584" s="602"/>
    </row>
    <row r="585" spans="1:18" ht="15.75" customHeight="1">
      <c r="A585" s="602"/>
      <c r="B585" s="602"/>
      <c r="C585" s="602"/>
      <c r="D585" s="602"/>
      <c r="E585" s="602"/>
      <c r="F585" s="602"/>
      <c r="G585" s="602"/>
      <c r="H585" s="602"/>
      <c r="I585" s="602"/>
      <c r="J585" s="602"/>
      <c r="K585" s="602"/>
      <c r="L585" s="602"/>
      <c r="M585" s="602"/>
      <c r="N585" s="602"/>
      <c r="O585" s="602"/>
      <c r="P585" s="602"/>
      <c r="Q585" s="602"/>
      <c r="R585" s="602"/>
    </row>
    <row r="586" spans="1:18" ht="15.75" customHeight="1">
      <c r="A586" s="602"/>
      <c r="B586" s="602"/>
      <c r="C586" s="602"/>
      <c r="D586" s="602"/>
      <c r="E586" s="602"/>
      <c r="F586" s="602"/>
      <c r="G586" s="602"/>
      <c r="H586" s="602"/>
      <c r="I586" s="602"/>
      <c r="J586" s="602"/>
      <c r="K586" s="602"/>
      <c r="L586" s="602"/>
      <c r="M586" s="602"/>
      <c r="N586" s="602"/>
      <c r="O586" s="602"/>
      <c r="P586" s="602"/>
      <c r="Q586" s="602"/>
      <c r="R586" s="602"/>
    </row>
    <row r="587" spans="1:18" ht="15.75" customHeight="1">
      <c r="A587" s="602"/>
      <c r="B587" s="602"/>
      <c r="C587" s="602"/>
      <c r="D587" s="602"/>
      <c r="E587" s="602"/>
      <c r="F587" s="602"/>
      <c r="G587" s="602"/>
      <c r="H587" s="602"/>
      <c r="I587" s="602"/>
      <c r="J587" s="602"/>
      <c r="K587" s="602"/>
      <c r="L587" s="602"/>
      <c r="M587" s="602"/>
      <c r="N587" s="602"/>
      <c r="O587" s="602"/>
      <c r="P587" s="602"/>
      <c r="Q587" s="602"/>
      <c r="R587" s="602"/>
    </row>
    <row r="588" spans="1:18" ht="15.75" customHeight="1">
      <c r="A588" s="602"/>
      <c r="B588" s="602"/>
      <c r="C588" s="602"/>
      <c r="D588" s="602"/>
      <c r="E588" s="602"/>
      <c r="F588" s="602"/>
      <c r="G588" s="602"/>
      <c r="H588" s="602"/>
      <c r="I588" s="602"/>
      <c r="J588" s="602"/>
      <c r="K588" s="602"/>
      <c r="L588" s="602"/>
      <c r="M588" s="602"/>
      <c r="N588" s="602"/>
      <c r="O588" s="602"/>
      <c r="P588" s="602"/>
      <c r="Q588" s="602"/>
      <c r="R588" s="602"/>
    </row>
    <row r="589" spans="1:18" ht="15.75" customHeight="1">
      <c r="A589" s="602"/>
      <c r="B589" s="602"/>
      <c r="C589" s="602"/>
      <c r="D589" s="602"/>
      <c r="E589" s="602"/>
      <c r="F589" s="602"/>
      <c r="G589" s="602"/>
      <c r="H589" s="602"/>
      <c r="I589" s="602"/>
      <c r="J589" s="602"/>
      <c r="K589" s="602"/>
      <c r="L589" s="602"/>
      <c r="M589" s="602"/>
      <c r="N589" s="602"/>
      <c r="O589" s="602"/>
      <c r="P589" s="602"/>
      <c r="Q589" s="602"/>
      <c r="R589" s="602"/>
    </row>
    <row r="590" spans="1:18" ht="15.75" customHeight="1">
      <c r="A590" s="602"/>
      <c r="B590" s="602"/>
      <c r="C590" s="602"/>
      <c r="D590" s="602"/>
      <c r="E590" s="602"/>
      <c r="F590" s="602"/>
      <c r="G590" s="602"/>
      <c r="H590" s="602"/>
      <c r="I590" s="602"/>
      <c r="J590" s="602"/>
      <c r="K590" s="602"/>
      <c r="L590" s="602"/>
      <c r="M590" s="602"/>
      <c r="N590" s="602"/>
      <c r="O590" s="602"/>
      <c r="P590" s="602"/>
      <c r="Q590" s="602"/>
      <c r="R590" s="602"/>
    </row>
    <row r="591" spans="1:18" ht="15.75" customHeight="1">
      <c r="A591" s="602"/>
      <c r="B591" s="602"/>
      <c r="C591" s="602"/>
      <c r="D591" s="602"/>
      <c r="E591" s="602"/>
      <c r="F591" s="602"/>
      <c r="G591" s="602"/>
      <c r="H591" s="602"/>
      <c r="I591" s="602"/>
      <c r="J591" s="602"/>
      <c r="K591" s="602"/>
      <c r="L591" s="602"/>
      <c r="M591" s="602"/>
      <c r="N591" s="602"/>
      <c r="O591" s="602"/>
      <c r="P591" s="602"/>
      <c r="Q591" s="602"/>
      <c r="R591" s="602"/>
    </row>
    <row r="592" spans="1:18" ht="15.75" customHeight="1">
      <c r="A592" s="602"/>
      <c r="B592" s="602"/>
      <c r="C592" s="602"/>
      <c r="D592" s="602"/>
      <c r="E592" s="602"/>
      <c r="F592" s="602"/>
      <c r="G592" s="602"/>
      <c r="H592" s="602"/>
      <c r="I592" s="602"/>
      <c r="J592" s="602"/>
      <c r="K592" s="602"/>
      <c r="L592" s="602"/>
      <c r="M592" s="602"/>
      <c r="N592" s="602"/>
      <c r="O592" s="602"/>
      <c r="P592" s="602"/>
      <c r="Q592" s="602"/>
      <c r="R592" s="602"/>
    </row>
    <row r="593" spans="1:18" ht="15.75" customHeight="1">
      <c r="A593" s="602"/>
      <c r="B593" s="602"/>
      <c r="C593" s="602"/>
      <c r="D593" s="602"/>
      <c r="E593" s="602"/>
      <c r="F593" s="602"/>
      <c r="G593" s="602"/>
      <c r="H593" s="602"/>
      <c r="I593" s="602"/>
      <c r="J593" s="602"/>
      <c r="K593" s="602"/>
      <c r="L593" s="602"/>
      <c r="M593" s="602"/>
      <c r="N593" s="602"/>
      <c r="O593" s="602"/>
      <c r="P593" s="602"/>
      <c r="Q593" s="602"/>
      <c r="R593" s="602"/>
    </row>
    <row r="594" spans="1:18" ht="15.75" customHeight="1">
      <c r="A594" s="602"/>
      <c r="B594" s="602"/>
      <c r="C594" s="602"/>
      <c r="D594" s="602"/>
      <c r="E594" s="602"/>
      <c r="F594" s="602"/>
      <c r="G594" s="602"/>
      <c r="H594" s="602"/>
      <c r="I594" s="602"/>
      <c r="J594" s="602"/>
      <c r="K594" s="602"/>
      <c r="L594" s="602"/>
      <c r="M594" s="602"/>
      <c r="N594" s="602"/>
      <c r="O594" s="602"/>
      <c r="P594" s="602"/>
      <c r="Q594" s="602"/>
      <c r="R594" s="602"/>
    </row>
    <row r="595" spans="1:18" ht="15.75" customHeight="1">
      <c r="A595" s="602"/>
      <c r="B595" s="602"/>
      <c r="C595" s="602"/>
      <c r="D595" s="602"/>
      <c r="E595" s="602"/>
      <c r="F595" s="602"/>
      <c r="G595" s="602"/>
      <c r="H595" s="602"/>
      <c r="I595" s="602"/>
      <c r="J595" s="602"/>
      <c r="K595" s="602"/>
      <c r="L595" s="602"/>
      <c r="M595" s="602"/>
      <c r="N595" s="602"/>
      <c r="O595" s="602"/>
      <c r="P595" s="602"/>
      <c r="Q595" s="602"/>
      <c r="R595" s="602"/>
    </row>
    <row r="596" spans="1:18" ht="15.75" customHeight="1">
      <c r="A596" s="602"/>
      <c r="B596" s="602"/>
      <c r="C596" s="602"/>
      <c r="D596" s="602"/>
      <c r="E596" s="602"/>
      <c r="F596" s="602"/>
      <c r="G596" s="602"/>
      <c r="H596" s="602"/>
      <c r="I596" s="602"/>
      <c r="J596" s="602"/>
      <c r="K596" s="602"/>
      <c r="L596" s="602"/>
      <c r="M596" s="602"/>
      <c r="N596" s="602"/>
      <c r="O596" s="602"/>
      <c r="P596" s="602"/>
      <c r="Q596" s="602"/>
      <c r="R596" s="602"/>
    </row>
    <row r="597" spans="1:18" ht="15.75" customHeight="1">
      <c r="A597" s="602"/>
      <c r="B597" s="602"/>
      <c r="C597" s="602"/>
      <c r="D597" s="602"/>
      <c r="E597" s="602"/>
      <c r="F597" s="602"/>
      <c r="G597" s="602"/>
      <c r="H597" s="602"/>
      <c r="I597" s="602"/>
      <c r="J597" s="602"/>
      <c r="K597" s="602"/>
      <c r="L597" s="602"/>
      <c r="M597" s="602"/>
      <c r="N597" s="602"/>
      <c r="O597" s="602"/>
      <c r="P597" s="602"/>
      <c r="Q597" s="602"/>
      <c r="R597" s="602"/>
    </row>
    <row r="598" spans="1:18" ht="15.75" customHeight="1">
      <c r="A598" s="602"/>
      <c r="B598" s="602"/>
      <c r="C598" s="602"/>
      <c r="D598" s="602"/>
      <c r="E598" s="602"/>
      <c r="F598" s="602"/>
      <c r="G598" s="602"/>
      <c r="H598" s="602"/>
      <c r="I598" s="602"/>
      <c r="J598" s="602"/>
      <c r="K598" s="602"/>
      <c r="L598" s="602"/>
      <c r="M598" s="602"/>
      <c r="N598" s="602"/>
      <c r="O598" s="602"/>
      <c r="P598" s="602"/>
      <c r="Q598" s="602"/>
      <c r="R598" s="602"/>
    </row>
    <row r="599" spans="1:18" ht="15.75" customHeight="1">
      <c r="A599" s="602"/>
      <c r="B599" s="602"/>
      <c r="C599" s="602"/>
      <c r="D599" s="602"/>
      <c r="E599" s="602"/>
      <c r="F599" s="602"/>
      <c r="G599" s="602"/>
      <c r="H599" s="602"/>
      <c r="I599" s="602"/>
      <c r="J599" s="602"/>
      <c r="K599" s="602"/>
      <c r="L599" s="602"/>
      <c r="M599" s="602"/>
      <c r="N599" s="602"/>
      <c r="O599" s="602"/>
      <c r="P599" s="602"/>
      <c r="Q599" s="602"/>
      <c r="R599" s="602"/>
    </row>
    <row r="600" spans="1:18" ht="15.75" customHeight="1">
      <c r="A600" s="602"/>
      <c r="B600" s="602"/>
      <c r="C600" s="602"/>
      <c r="D600" s="602"/>
      <c r="E600" s="602"/>
      <c r="F600" s="602"/>
      <c r="G600" s="602"/>
      <c r="H600" s="602"/>
      <c r="I600" s="602"/>
      <c r="J600" s="602"/>
      <c r="K600" s="602"/>
      <c r="L600" s="602"/>
      <c r="M600" s="602"/>
      <c r="N600" s="602"/>
      <c r="O600" s="602"/>
      <c r="P600" s="602"/>
      <c r="Q600" s="602"/>
      <c r="R600" s="602"/>
    </row>
    <row r="601" spans="1:18" ht="15.75" customHeight="1">
      <c r="A601" s="602"/>
      <c r="B601" s="602"/>
      <c r="C601" s="602"/>
      <c r="D601" s="602"/>
      <c r="E601" s="602"/>
      <c r="F601" s="602"/>
      <c r="G601" s="602"/>
      <c r="H601" s="602"/>
      <c r="I601" s="602"/>
      <c r="J601" s="602"/>
      <c r="K601" s="602"/>
      <c r="L601" s="602"/>
      <c r="M601" s="602"/>
      <c r="N601" s="602"/>
      <c r="O601" s="602"/>
      <c r="P601" s="602"/>
      <c r="Q601" s="602"/>
      <c r="R601" s="602"/>
    </row>
    <row r="602" spans="1:18" ht="15.75" customHeight="1">
      <c r="A602" s="602"/>
      <c r="B602" s="602"/>
      <c r="C602" s="602"/>
      <c r="D602" s="602"/>
      <c r="E602" s="602"/>
      <c r="F602" s="602"/>
      <c r="G602" s="602"/>
      <c r="H602" s="602"/>
      <c r="I602" s="602"/>
      <c r="J602" s="602"/>
      <c r="K602" s="602"/>
      <c r="L602" s="602"/>
      <c r="M602" s="602"/>
      <c r="N602" s="602"/>
      <c r="O602" s="602"/>
      <c r="P602" s="602"/>
      <c r="Q602" s="602"/>
      <c r="R602" s="602"/>
    </row>
    <row r="603" spans="1:18" ht="15.75" customHeight="1">
      <c r="A603" s="602"/>
      <c r="B603" s="602"/>
      <c r="C603" s="602"/>
      <c r="D603" s="602"/>
      <c r="E603" s="602"/>
      <c r="F603" s="602"/>
      <c r="G603" s="602"/>
      <c r="H603" s="602"/>
      <c r="I603" s="602"/>
      <c r="J603" s="602"/>
      <c r="K603" s="602"/>
      <c r="L603" s="602"/>
      <c r="M603" s="602"/>
      <c r="N603" s="602"/>
      <c r="O603" s="602"/>
      <c r="P603" s="602"/>
      <c r="Q603" s="602"/>
      <c r="R603" s="602"/>
    </row>
    <row r="604" spans="1:18" ht="15.75" customHeight="1">
      <c r="A604" s="602"/>
      <c r="B604" s="602"/>
      <c r="C604" s="602"/>
      <c r="D604" s="602"/>
      <c r="E604" s="602"/>
      <c r="F604" s="602"/>
      <c r="G604" s="602"/>
      <c r="H604" s="602"/>
      <c r="I604" s="602"/>
      <c r="J604" s="602"/>
      <c r="K604" s="602"/>
      <c r="L604" s="602"/>
      <c r="M604" s="602"/>
      <c r="N604" s="602"/>
      <c r="O604" s="602"/>
      <c r="P604" s="602"/>
      <c r="Q604" s="602"/>
      <c r="R604" s="602"/>
    </row>
    <row r="605" spans="1:18" ht="15.75" customHeight="1">
      <c r="A605" s="602"/>
      <c r="B605" s="602"/>
      <c r="C605" s="602"/>
      <c r="D605" s="602"/>
      <c r="E605" s="602"/>
      <c r="F605" s="602"/>
      <c r="G605" s="602"/>
      <c r="H605" s="602"/>
      <c r="I605" s="602"/>
      <c r="J605" s="602"/>
      <c r="K605" s="602"/>
      <c r="L605" s="602"/>
      <c r="M605" s="602"/>
      <c r="N605" s="602"/>
      <c r="O605" s="602"/>
      <c r="P605" s="602"/>
      <c r="Q605" s="602"/>
      <c r="R605" s="602"/>
    </row>
    <row r="606" spans="1:18" ht="15.75" customHeight="1">
      <c r="A606" s="602"/>
      <c r="B606" s="602"/>
      <c r="C606" s="602"/>
      <c r="D606" s="602"/>
      <c r="E606" s="602"/>
      <c r="F606" s="602"/>
      <c r="G606" s="602"/>
      <c r="H606" s="602"/>
      <c r="I606" s="602"/>
      <c r="J606" s="602"/>
      <c r="K606" s="602"/>
      <c r="L606" s="602"/>
      <c r="M606" s="602"/>
      <c r="N606" s="602"/>
      <c r="O606" s="602"/>
      <c r="P606" s="602"/>
      <c r="Q606" s="602"/>
      <c r="R606" s="602"/>
    </row>
    <row r="607" spans="1:18" ht="15.75" customHeight="1">
      <c r="A607" s="602"/>
      <c r="B607" s="602"/>
      <c r="C607" s="602"/>
      <c r="D607" s="602"/>
      <c r="E607" s="602"/>
      <c r="F607" s="602"/>
      <c r="G607" s="602"/>
      <c r="H607" s="602"/>
      <c r="I607" s="602"/>
      <c r="J607" s="602"/>
      <c r="K607" s="602"/>
      <c r="L607" s="602"/>
      <c r="M607" s="602"/>
      <c r="N607" s="602"/>
      <c r="O607" s="602"/>
      <c r="P607" s="602"/>
      <c r="Q607" s="602"/>
      <c r="R607" s="602"/>
    </row>
    <row r="608" spans="1:18" ht="15.75" customHeight="1">
      <c r="A608" s="602"/>
      <c r="B608" s="602"/>
      <c r="C608" s="602"/>
      <c r="D608" s="602"/>
      <c r="E608" s="602"/>
      <c r="F608" s="602"/>
      <c r="G608" s="602"/>
      <c r="H608" s="602"/>
      <c r="I608" s="602"/>
      <c r="J608" s="602"/>
      <c r="K608" s="602"/>
      <c r="L608" s="602"/>
      <c r="M608" s="602"/>
      <c r="N608" s="602"/>
      <c r="O608" s="602"/>
      <c r="P608" s="602"/>
      <c r="Q608" s="602"/>
      <c r="R608" s="602"/>
    </row>
    <row r="609" spans="1:18" ht="15.75" customHeight="1">
      <c r="A609" s="602"/>
      <c r="B609" s="602"/>
      <c r="C609" s="602"/>
      <c r="D609" s="602"/>
      <c r="E609" s="602"/>
      <c r="F609" s="602"/>
      <c r="G609" s="602"/>
      <c r="H609" s="602"/>
      <c r="I609" s="602"/>
      <c r="J609" s="602"/>
      <c r="K609" s="602"/>
      <c r="L609" s="602"/>
      <c r="M609" s="602"/>
      <c r="N609" s="602"/>
      <c r="O609" s="602"/>
      <c r="P609" s="602"/>
      <c r="Q609" s="602"/>
      <c r="R609" s="602"/>
    </row>
    <row r="610" spans="1:18" ht="15.75" customHeight="1">
      <c r="A610" s="602"/>
      <c r="B610" s="602"/>
      <c r="C610" s="602"/>
      <c r="D610" s="602"/>
      <c r="E610" s="602"/>
      <c r="F610" s="602"/>
      <c r="G610" s="602"/>
      <c r="H610" s="602"/>
      <c r="I610" s="602"/>
      <c r="J610" s="602"/>
      <c r="K610" s="602"/>
      <c r="L610" s="602"/>
      <c r="M610" s="602"/>
      <c r="N610" s="602"/>
      <c r="O610" s="602"/>
      <c r="P610" s="602"/>
      <c r="Q610" s="602"/>
      <c r="R610" s="602"/>
    </row>
    <row r="611" spans="1:18" ht="15.75" customHeight="1">
      <c r="A611" s="602"/>
      <c r="B611" s="602"/>
      <c r="C611" s="602"/>
      <c r="D611" s="602"/>
      <c r="E611" s="602"/>
      <c r="F611" s="602"/>
      <c r="G611" s="602"/>
      <c r="H611" s="602"/>
      <c r="I611" s="602"/>
      <c r="J611" s="602"/>
      <c r="K611" s="602"/>
      <c r="L611" s="602"/>
      <c r="M611" s="602"/>
      <c r="N611" s="602"/>
      <c r="O611" s="602"/>
      <c r="P611" s="602"/>
      <c r="Q611" s="602"/>
      <c r="R611" s="602"/>
    </row>
    <row r="612" spans="1:18" ht="15.75" customHeight="1">
      <c r="A612" s="602"/>
      <c r="B612" s="602"/>
      <c r="C612" s="602"/>
      <c r="D612" s="602"/>
      <c r="E612" s="602"/>
      <c r="F612" s="602"/>
      <c r="G612" s="602"/>
      <c r="H612" s="602"/>
      <c r="I612" s="602"/>
      <c r="J612" s="602"/>
      <c r="K612" s="602"/>
      <c r="L612" s="602"/>
      <c r="M612" s="602"/>
      <c r="N612" s="602"/>
      <c r="O612" s="602"/>
      <c r="P612" s="602"/>
      <c r="Q612" s="602"/>
      <c r="R612" s="602"/>
    </row>
    <row r="613" spans="1:18" ht="15.75" customHeight="1">
      <c r="A613" s="602"/>
      <c r="B613" s="602"/>
      <c r="C613" s="602"/>
      <c r="D613" s="602"/>
      <c r="E613" s="602"/>
      <c r="F613" s="602"/>
      <c r="G613" s="602"/>
      <c r="H613" s="602"/>
      <c r="I613" s="602"/>
      <c r="J613" s="602"/>
      <c r="K613" s="602"/>
      <c r="L613" s="602"/>
      <c r="M613" s="602"/>
      <c r="N613" s="602"/>
      <c r="O613" s="602"/>
      <c r="P613" s="602"/>
      <c r="Q613" s="602"/>
      <c r="R613" s="602"/>
    </row>
    <row r="614" spans="1:18" ht="15.75" customHeight="1">
      <c r="A614" s="602"/>
      <c r="B614" s="602"/>
      <c r="C614" s="602"/>
      <c r="D614" s="602"/>
      <c r="E614" s="602"/>
      <c r="F614" s="602"/>
      <c r="G614" s="602"/>
      <c r="H614" s="602"/>
      <c r="I614" s="602"/>
      <c r="J614" s="602"/>
      <c r="K614" s="602"/>
      <c r="L614" s="602"/>
      <c r="M614" s="602"/>
      <c r="N614" s="602"/>
      <c r="O614" s="602"/>
      <c r="P614" s="602"/>
      <c r="Q614" s="602"/>
      <c r="R614" s="602"/>
    </row>
    <row r="615" spans="1:18" ht="15.75" customHeight="1">
      <c r="A615" s="602"/>
      <c r="B615" s="602"/>
      <c r="C615" s="602"/>
      <c r="D615" s="602"/>
      <c r="E615" s="602"/>
      <c r="F615" s="602"/>
      <c r="G615" s="602"/>
      <c r="H615" s="602"/>
      <c r="I615" s="602"/>
      <c r="J615" s="602"/>
      <c r="K615" s="602"/>
      <c r="L615" s="602"/>
      <c r="M615" s="602"/>
      <c r="N615" s="602"/>
      <c r="O615" s="602"/>
      <c r="P615" s="602"/>
      <c r="Q615" s="602"/>
      <c r="R615" s="602"/>
    </row>
    <row r="616" spans="1:18" ht="15.75" customHeight="1">
      <c r="A616" s="602"/>
      <c r="B616" s="602"/>
      <c r="C616" s="602"/>
      <c r="D616" s="602"/>
      <c r="E616" s="602"/>
      <c r="F616" s="602"/>
      <c r="G616" s="602"/>
      <c r="H616" s="602"/>
      <c r="I616" s="602"/>
      <c r="J616" s="602"/>
      <c r="K616" s="602"/>
      <c r="L616" s="602"/>
      <c r="M616" s="602"/>
      <c r="N616" s="602"/>
      <c r="O616" s="602"/>
      <c r="P616" s="602"/>
      <c r="Q616" s="602"/>
      <c r="R616" s="602"/>
    </row>
    <row r="617" spans="1:18" ht="15.75" customHeight="1">
      <c r="A617" s="602"/>
      <c r="B617" s="602"/>
      <c r="C617" s="602"/>
      <c r="D617" s="602"/>
      <c r="E617" s="602"/>
      <c r="F617" s="602"/>
      <c r="G617" s="602"/>
      <c r="H617" s="602"/>
      <c r="I617" s="602"/>
      <c r="J617" s="602"/>
      <c r="K617" s="602"/>
      <c r="L617" s="602"/>
      <c r="M617" s="602"/>
      <c r="N617" s="602"/>
      <c r="O617" s="602"/>
      <c r="P617" s="602"/>
      <c r="Q617" s="602"/>
      <c r="R617" s="602"/>
    </row>
    <row r="618" spans="1:18" ht="15.75" customHeight="1">
      <c r="A618" s="602"/>
      <c r="B618" s="602"/>
      <c r="C618" s="602"/>
      <c r="D618" s="602"/>
      <c r="E618" s="602"/>
      <c r="F618" s="602"/>
      <c r="G618" s="602"/>
      <c r="H618" s="602"/>
      <c r="I618" s="602"/>
      <c r="J618" s="602"/>
      <c r="K618" s="602"/>
      <c r="L618" s="602"/>
      <c r="M618" s="602"/>
      <c r="N618" s="602"/>
      <c r="O618" s="602"/>
      <c r="P618" s="602"/>
      <c r="Q618" s="602"/>
      <c r="R618" s="602"/>
    </row>
    <row r="619" spans="1:18" ht="15.75" customHeight="1">
      <c r="A619" s="602"/>
      <c r="B619" s="602"/>
      <c r="C619" s="602"/>
      <c r="D619" s="602"/>
      <c r="E619" s="602"/>
      <c r="F619" s="602"/>
      <c r="G619" s="602"/>
      <c r="H619" s="602"/>
      <c r="I619" s="602"/>
      <c r="J619" s="602"/>
      <c r="K619" s="602"/>
      <c r="L619" s="602"/>
      <c r="M619" s="602"/>
      <c r="N619" s="602"/>
      <c r="O619" s="602"/>
      <c r="P619" s="602"/>
      <c r="Q619" s="602"/>
      <c r="R619" s="602"/>
    </row>
    <row r="620" spans="1:18" ht="15.75" customHeight="1">
      <c r="A620" s="602"/>
      <c r="B620" s="602"/>
      <c r="C620" s="602"/>
      <c r="D620" s="602"/>
      <c r="E620" s="602"/>
      <c r="F620" s="602"/>
      <c r="G620" s="602"/>
      <c r="H620" s="602"/>
      <c r="I620" s="602"/>
      <c r="J620" s="602"/>
      <c r="K620" s="602"/>
      <c r="L620" s="602"/>
      <c r="M620" s="602"/>
      <c r="N620" s="602"/>
      <c r="O620" s="602"/>
      <c r="P620" s="602"/>
      <c r="Q620" s="602"/>
      <c r="R620" s="602"/>
    </row>
    <row r="621" spans="1:18" ht="15.75" customHeight="1">
      <c r="A621" s="602"/>
      <c r="B621" s="602"/>
      <c r="C621" s="602"/>
      <c r="D621" s="602"/>
      <c r="E621" s="602"/>
      <c r="F621" s="602"/>
      <c r="G621" s="602"/>
      <c r="H621" s="602"/>
      <c r="I621" s="602"/>
      <c r="J621" s="602"/>
      <c r="K621" s="602"/>
      <c r="L621" s="602"/>
      <c r="M621" s="602"/>
      <c r="N621" s="602"/>
      <c r="O621" s="602"/>
      <c r="P621" s="602"/>
      <c r="Q621" s="602"/>
      <c r="R621" s="602"/>
    </row>
    <row r="622" spans="1:18" ht="15.75" customHeight="1">
      <c r="A622" s="602"/>
      <c r="B622" s="602"/>
      <c r="C622" s="602"/>
      <c r="D622" s="602"/>
      <c r="E622" s="602"/>
      <c r="F622" s="602"/>
      <c r="G622" s="602"/>
      <c r="H622" s="602"/>
      <c r="I622" s="602"/>
      <c r="J622" s="602"/>
      <c r="K622" s="602"/>
      <c r="L622" s="602"/>
      <c r="M622" s="602"/>
      <c r="N622" s="602"/>
      <c r="O622" s="602"/>
      <c r="P622" s="602"/>
      <c r="Q622" s="602"/>
      <c r="R622" s="602"/>
    </row>
    <row r="623" spans="1:18" ht="15.75" customHeight="1">
      <c r="A623" s="602"/>
      <c r="B623" s="602"/>
      <c r="C623" s="602"/>
      <c r="D623" s="602"/>
      <c r="E623" s="602"/>
      <c r="F623" s="602"/>
      <c r="G623" s="602"/>
      <c r="H623" s="602"/>
      <c r="I623" s="602"/>
      <c r="J623" s="602"/>
      <c r="K623" s="602"/>
      <c r="L623" s="602"/>
      <c r="M623" s="602"/>
      <c r="N623" s="602"/>
      <c r="O623" s="602"/>
      <c r="P623" s="602"/>
      <c r="Q623" s="602"/>
      <c r="R623" s="602"/>
    </row>
    <row r="624" spans="1:18" ht="15.75" customHeight="1">
      <c r="A624" s="602"/>
      <c r="B624" s="602"/>
      <c r="C624" s="602"/>
      <c r="D624" s="602"/>
      <c r="E624" s="602"/>
      <c r="F624" s="602"/>
      <c r="G624" s="602"/>
      <c r="H624" s="602"/>
      <c r="I624" s="602"/>
      <c r="J624" s="602"/>
      <c r="K624" s="602"/>
      <c r="L624" s="602"/>
      <c r="M624" s="602"/>
      <c r="N624" s="602"/>
      <c r="O624" s="602"/>
      <c r="P624" s="602"/>
      <c r="Q624" s="602"/>
      <c r="R624" s="602"/>
    </row>
    <row r="625" spans="1:18" ht="15.75" customHeight="1">
      <c r="A625" s="602"/>
      <c r="B625" s="602"/>
      <c r="C625" s="602"/>
      <c r="D625" s="602"/>
      <c r="E625" s="602"/>
      <c r="F625" s="602"/>
      <c r="G625" s="602"/>
      <c r="H625" s="602"/>
      <c r="I625" s="602"/>
      <c r="J625" s="602"/>
      <c r="K625" s="602"/>
      <c r="L625" s="602"/>
      <c r="M625" s="602"/>
      <c r="N625" s="602"/>
      <c r="O625" s="602"/>
      <c r="P625" s="602"/>
      <c r="Q625" s="602"/>
      <c r="R625" s="602"/>
    </row>
    <row r="626" spans="1:18" ht="15.75" customHeight="1">
      <c r="A626" s="602"/>
      <c r="B626" s="602"/>
      <c r="C626" s="602"/>
      <c r="D626" s="602"/>
      <c r="E626" s="602"/>
      <c r="F626" s="602"/>
      <c r="G626" s="602"/>
      <c r="H626" s="602"/>
      <c r="I626" s="602"/>
      <c r="J626" s="602"/>
      <c r="K626" s="602"/>
      <c r="L626" s="602"/>
      <c r="M626" s="602"/>
      <c r="N626" s="602"/>
      <c r="O626" s="602"/>
      <c r="P626" s="602"/>
      <c r="Q626" s="602"/>
      <c r="R626" s="602"/>
    </row>
    <row r="627" spans="1:18" ht="15.75" customHeight="1">
      <c r="A627" s="602"/>
      <c r="B627" s="602"/>
      <c r="C627" s="602"/>
      <c r="D627" s="602"/>
      <c r="E627" s="602"/>
      <c r="F627" s="602"/>
      <c r="G627" s="602"/>
      <c r="H627" s="602"/>
      <c r="I627" s="602"/>
      <c r="J627" s="602"/>
      <c r="K627" s="602"/>
      <c r="L627" s="602"/>
      <c r="M627" s="602"/>
      <c r="N627" s="602"/>
      <c r="O627" s="602"/>
      <c r="P627" s="602"/>
      <c r="Q627" s="602"/>
      <c r="R627" s="602"/>
    </row>
    <row r="628" spans="1:18" ht="15.75" customHeight="1">
      <c r="A628" s="602"/>
      <c r="B628" s="602"/>
      <c r="C628" s="602"/>
      <c r="D628" s="602"/>
      <c r="E628" s="602"/>
      <c r="F628" s="602"/>
      <c r="G628" s="602"/>
      <c r="H628" s="602"/>
      <c r="I628" s="602"/>
      <c r="J628" s="602"/>
      <c r="K628" s="602"/>
      <c r="L628" s="602"/>
      <c r="M628" s="602"/>
      <c r="N628" s="602"/>
      <c r="O628" s="602"/>
      <c r="P628" s="602"/>
      <c r="Q628" s="602"/>
      <c r="R628" s="602"/>
    </row>
    <row r="629" spans="1:18" ht="15.75" customHeight="1">
      <c r="A629" s="602"/>
      <c r="B629" s="602"/>
      <c r="C629" s="602"/>
      <c r="D629" s="602"/>
      <c r="E629" s="602"/>
      <c r="F629" s="602"/>
      <c r="G629" s="602"/>
      <c r="H629" s="602"/>
      <c r="I629" s="602"/>
      <c r="J629" s="602"/>
      <c r="K629" s="602"/>
      <c r="L629" s="602"/>
      <c r="M629" s="602"/>
      <c r="N629" s="602"/>
      <c r="O629" s="602"/>
      <c r="P629" s="602"/>
      <c r="Q629" s="602"/>
      <c r="R629" s="602"/>
    </row>
    <row r="630" spans="1:18" ht="15.75" customHeight="1">
      <c r="A630" s="602"/>
      <c r="B630" s="602"/>
      <c r="C630" s="602"/>
      <c r="D630" s="602"/>
      <c r="E630" s="602"/>
      <c r="F630" s="602"/>
      <c r="G630" s="602"/>
      <c r="H630" s="602"/>
      <c r="I630" s="602"/>
      <c r="J630" s="602"/>
      <c r="K630" s="602"/>
      <c r="L630" s="602"/>
      <c r="M630" s="602"/>
      <c r="N630" s="602"/>
      <c r="O630" s="602"/>
      <c r="P630" s="602"/>
      <c r="Q630" s="602"/>
      <c r="R630" s="602"/>
    </row>
    <row r="631" spans="1:18" ht="15.75" customHeight="1">
      <c r="A631" s="602"/>
      <c r="B631" s="602"/>
      <c r="C631" s="602"/>
      <c r="D631" s="602"/>
      <c r="E631" s="602"/>
      <c r="F631" s="602"/>
      <c r="G631" s="602"/>
      <c r="H631" s="602"/>
      <c r="I631" s="602"/>
      <c r="J631" s="602"/>
      <c r="K631" s="602"/>
      <c r="L631" s="602"/>
      <c r="M631" s="602"/>
      <c r="N631" s="602"/>
      <c r="O631" s="602"/>
      <c r="P631" s="602"/>
      <c r="Q631" s="602"/>
      <c r="R631" s="602"/>
    </row>
    <row r="632" spans="1:18" ht="15.75" customHeight="1">
      <c r="A632" s="602"/>
      <c r="B632" s="602"/>
      <c r="C632" s="602"/>
      <c r="D632" s="602"/>
      <c r="E632" s="602"/>
      <c r="F632" s="602"/>
      <c r="G632" s="602"/>
      <c r="H632" s="602"/>
      <c r="I632" s="602"/>
      <c r="J632" s="602"/>
      <c r="K632" s="602"/>
      <c r="L632" s="602"/>
      <c r="M632" s="602"/>
      <c r="N632" s="602"/>
      <c r="O632" s="602"/>
      <c r="P632" s="602"/>
      <c r="Q632" s="602"/>
      <c r="R632" s="602"/>
    </row>
    <row r="633" spans="1:18" ht="15.75" customHeight="1">
      <c r="A633" s="602"/>
      <c r="B633" s="602"/>
      <c r="C633" s="602"/>
      <c r="D633" s="602"/>
      <c r="E633" s="602"/>
      <c r="F633" s="602"/>
      <c r="G633" s="602"/>
      <c r="H633" s="602"/>
      <c r="I633" s="602"/>
      <c r="J633" s="602"/>
      <c r="K633" s="602"/>
      <c r="L633" s="602"/>
      <c r="M633" s="602"/>
      <c r="N633" s="602"/>
      <c r="O633" s="602"/>
      <c r="P633" s="602"/>
      <c r="Q633" s="602"/>
      <c r="R633" s="602"/>
    </row>
    <row r="634" spans="1:18" ht="15.75" customHeight="1">
      <c r="A634" s="602"/>
      <c r="B634" s="602"/>
      <c r="C634" s="602"/>
      <c r="D634" s="602"/>
      <c r="E634" s="602"/>
      <c r="F634" s="602"/>
      <c r="G634" s="602"/>
      <c r="H634" s="602"/>
      <c r="I634" s="602"/>
      <c r="J634" s="602"/>
      <c r="K634" s="602"/>
      <c r="L634" s="602"/>
      <c r="M634" s="602"/>
      <c r="N634" s="602"/>
      <c r="O634" s="602"/>
      <c r="P634" s="602"/>
      <c r="Q634" s="602"/>
      <c r="R634" s="602"/>
    </row>
    <row r="635" spans="1:18" ht="15.75" customHeight="1">
      <c r="A635" s="602"/>
      <c r="B635" s="602"/>
      <c r="C635" s="602"/>
      <c r="D635" s="602"/>
      <c r="E635" s="602"/>
      <c r="F635" s="602"/>
      <c r="G635" s="602"/>
      <c r="H635" s="602"/>
      <c r="I635" s="602"/>
      <c r="J635" s="602"/>
      <c r="K635" s="602"/>
      <c r="L635" s="602"/>
      <c r="M635" s="602"/>
      <c r="N635" s="602"/>
      <c r="O635" s="602"/>
      <c r="P635" s="602"/>
      <c r="Q635" s="602"/>
      <c r="R635" s="602"/>
    </row>
    <row r="636" spans="1:18" ht="15.75" customHeight="1">
      <c r="A636" s="602"/>
      <c r="B636" s="602"/>
      <c r="C636" s="602"/>
      <c r="D636" s="602"/>
      <c r="E636" s="602"/>
      <c r="F636" s="602"/>
      <c r="G636" s="602"/>
      <c r="H636" s="602"/>
      <c r="I636" s="602"/>
      <c r="J636" s="602"/>
      <c r="K636" s="602"/>
      <c r="L636" s="602"/>
      <c r="M636" s="602"/>
      <c r="N636" s="602"/>
      <c r="O636" s="602"/>
      <c r="P636" s="602"/>
      <c r="Q636" s="602"/>
      <c r="R636" s="602"/>
    </row>
    <row r="637" spans="1:18" ht="15.75" customHeight="1">
      <c r="A637" s="602"/>
      <c r="B637" s="602"/>
      <c r="C637" s="602"/>
      <c r="D637" s="602"/>
      <c r="E637" s="602"/>
      <c r="F637" s="602"/>
      <c r="G637" s="602"/>
      <c r="H637" s="602"/>
      <c r="I637" s="602"/>
      <c r="J637" s="602"/>
      <c r="K637" s="602"/>
      <c r="L637" s="602"/>
      <c r="M637" s="602"/>
      <c r="N637" s="602"/>
      <c r="O637" s="602"/>
      <c r="P637" s="602"/>
      <c r="Q637" s="602"/>
      <c r="R637" s="602"/>
    </row>
    <row r="638" spans="1:18" ht="15.75" customHeight="1">
      <c r="A638" s="602"/>
      <c r="B638" s="602"/>
      <c r="C638" s="602"/>
      <c r="D638" s="602"/>
      <c r="E638" s="602"/>
      <c r="F638" s="602"/>
      <c r="G638" s="602"/>
      <c r="H638" s="602"/>
      <c r="I638" s="602"/>
      <c r="J638" s="602"/>
      <c r="K638" s="602"/>
      <c r="L638" s="602"/>
      <c r="M638" s="602"/>
      <c r="N638" s="602"/>
      <c r="O638" s="602"/>
      <c r="P638" s="602"/>
      <c r="Q638" s="602"/>
      <c r="R638" s="602"/>
    </row>
    <row r="639" spans="1:18" ht="15.75" customHeight="1">
      <c r="A639" s="602"/>
      <c r="B639" s="602"/>
      <c r="C639" s="602"/>
      <c r="D639" s="602"/>
      <c r="E639" s="602"/>
      <c r="F639" s="602"/>
      <c r="G639" s="602"/>
      <c r="H639" s="602"/>
      <c r="I639" s="602"/>
      <c r="J639" s="602"/>
      <c r="K639" s="602"/>
      <c r="L639" s="602"/>
      <c r="M639" s="602"/>
      <c r="N639" s="602"/>
      <c r="O639" s="602"/>
      <c r="P639" s="602"/>
      <c r="Q639" s="602"/>
      <c r="R639" s="602"/>
    </row>
    <row r="640" spans="1:18" ht="15.75" customHeight="1">
      <c r="A640" s="602"/>
      <c r="B640" s="602"/>
      <c r="C640" s="602"/>
      <c r="D640" s="602"/>
      <c r="E640" s="602"/>
      <c r="F640" s="602"/>
      <c r="G640" s="602"/>
      <c r="H640" s="602"/>
      <c r="I640" s="602"/>
      <c r="J640" s="602"/>
      <c r="K640" s="602"/>
      <c r="L640" s="602"/>
      <c r="M640" s="602"/>
      <c r="N640" s="602"/>
      <c r="O640" s="602"/>
      <c r="P640" s="602"/>
      <c r="Q640" s="602"/>
      <c r="R640" s="602"/>
    </row>
    <row r="641" spans="1:18" ht="15.75" customHeight="1">
      <c r="A641" s="602"/>
      <c r="B641" s="602"/>
      <c r="C641" s="602"/>
      <c r="D641" s="602"/>
      <c r="E641" s="602"/>
      <c r="F641" s="602"/>
      <c r="G641" s="602"/>
      <c r="H641" s="602"/>
      <c r="I641" s="602"/>
      <c r="J641" s="602"/>
      <c r="K641" s="602"/>
      <c r="L641" s="602"/>
      <c r="M641" s="602"/>
      <c r="N641" s="602"/>
      <c r="O641" s="602"/>
      <c r="P641" s="602"/>
      <c r="Q641" s="602"/>
      <c r="R641" s="602"/>
    </row>
    <row r="642" spans="1:18" ht="15.75" customHeight="1">
      <c r="A642" s="602"/>
      <c r="B642" s="602"/>
      <c r="C642" s="602"/>
      <c r="D642" s="602"/>
      <c r="E642" s="602"/>
      <c r="F642" s="602"/>
      <c r="G642" s="602"/>
      <c r="H642" s="602"/>
      <c r="I642" s="602"/>
      <c r="J642" s="602"/>
      <c r="K642" s="602"/>
      <c r="L642" s="602"/>
      <c r="M642" s="602"/>
      <c r="N642" s="602"/>
      <c r="O642" s="602"/>
      <c r="P642" s="602"/>
      <c r="Q642" s="602"/>
      <c r="R642" s="602"/>
    </row>
    <row r="643" spans="1:18" ht="15.75" customHeight="1">
      <c r="A643" s="602"/>
      <c r="B643" s="602"/>
      <c r="C643" s="602"/>
      <c r="D643" s="602"/>
      <c r="E643" s="602"/>
      <c r="F643" s="602"/>
      <c r="G643" s="602"/>
      <c r="H643" s="602"/>
      <c r="I643" s="602"/>
      <c r="J643" s="602"/>
      <c r="K643" s="602"/>
      <c r="L643" s="602"/>
      <c r="M643" s="602"/>
      <c r="N643" s="602"/>
      <c r="O643" s="602"/>
      <c r="P643" s="602"/>
      <c r="Q643" s="602"/>
      <c r="R643" s="602"/>
    </row>
    <row r="644" spans="1:18" ht="15.75" customHeight="1">
      <c r="A644" s="602"/>
      <c r="B644" s="602"/>
      <c r="C644" s="602"/>
      <c r="D644" s="602"/>
      <c r="E644" s="602"/>
      <c r="F644" s="602"/>
      <c r="G644" s="602"/>
      <c r="H644" s="602"/>
      <c r="I644" s="602"/>
      <c r="J644" s="602"/>
      <c r="K644" s="602"/>
      <c r="L644" s="602"/>
      <c r="M644" s="602"/>
      <c r="N644" s="602"/>
      <c r="O644" s="602"/>
      <c r="P644" s="602"/>
      <c r="Q644" s="602"/>
      <c r="R644" s="602"/>
    </row>
    <row r="645" spans="1:18" ht="15.75" customHeight="1">
      <c r="A645" s="602"/>
      <c r="B645" s="602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</row>
    <row r="646" spans="1:18" ht="15.75" customHeight="1">
      <c r="A646" s="602"/>
      <c r="B646" s="602"/>
      <c r="C646" s="602"/>
      <c r="D646" s="602"/>
      <c r="E646" s="602"/>
      <c r="F646" s="602"/>
      <c r="G646" s="602"/>
      <c r="H646" s="602"/>
      <c r="I646" s="602"/>
      <c r="J646" s="602"/>
      <c r="K646" s="602"/>
      <c r="L646" s="602"/>
      <c r="M646" s="602"/>
      <c r="N646" s="602"/>
      <c r="O646" s="602"/>
      <c r="P646" s="602"/>
      <c r="Q646" s="602"/>
      <c r="R646" s="602"/>
    </row>
    <row r="647" spans="1:18" ht="15.75" customHeight="1">
      <c r="A647" s="602"/>
      <c r="B647" s="602"/>
      <c r="C647" s="602"/>
      <c r="D647" s="602"/>
      <c r="E647" s="602"/>
      <c r="F647" s="602"/>
      <c r="G647" s="602"/>
      <c r="H647" s="602"/>
      <c r="I647" s="602"/>
      <c r="J647" s="602"/>
      <c r="K647" s="602"/>
      <c r="L647" s="602"/>
      <c r="M647" s="602"/>
      <c r="N647" s="602"/>
      <c r="O647" s="602"/>
      <c r="P647" s="602"/>
      <c r="Q647" s="602"/>
      <c r="R647" s="602"/>
    </row>
    <row r="648" spans="1:18" ht="15.75" customHeight="1">
      <c r="A648" s="602"/>
      <c r="B648" s="602"/>
      <c r="C648" s="602"/>
      <c r="D648" s="602"/>
      <c r="E648" s="602"/>
      <c r="F648" s="602"/>
      <c r="G648" s="602"/>
      <c r="H648" s="602"/>
      <c r="I648" s="602"/>
      <c r="J648" s="602"/>
      <c r="K648" s="602"/>
      <c r="L648" s="602"/>
      <c r="M648" s="602"/>
      <c r="N648" s="602"/>
      <c r="O648" s="602"/>
      <c r="P648" s="602"/>
      <c r="Q648" s="602"/>
      <c r="R648" s="602"/>
    </row>
    <row r="649" spans="1:18" ht="15.75" customHeight="1">
      <c r="A649" s="602"/>
      <c r="B649" s="602"/>
      <c r="C649" s="602"/>
      <c r="D649" s="602"/>
      <c r="E649" s="602"/>
      <c r="F649" s="602"/>
      <c r="G649" s="602"/>
      <c r="H649" s="602"/>
      <c r="I649" s="602"/>
      <c r="J649" s="602"/>
      <c r="K649" s="602"/>
      <c r="L649" s="602"/>
      <c r="M649" s="602"/>
      <c r="N649" s="602"/>
      <c r="O649" s="602"/>
      <c r="P649" s="602"/>
      <c r="Q649" s="602"/>
      <c r="R649" s="602"/>
    </row>
    <row r="650" spans="1:18" ht="15.75" customHeight="1">
      <c r="A650" s="602"/>
      <c r="B650" s="602"/>
      <c r="C650" s="602"/>
      <c r="D650" s="602"/>
      <c r="E650" s="602"/>
      <c r="F650" s="602"/>
      <c r="G650" s="602"/>
      <c r="H650" s="602"/>
      <c r="I650" s="602"/>
      <c r="J650" s="602"/>
      <c r="K650" s="602"/>
      <c r="L650" s="602"/>
      <c r="M650" s="602"/>
      <c r="N650" s="602"/>
      <c r="O650" s="602"/>
      <c r="P650" s="602"/>
      <c r="Q650" s="602"/>
      <c r="R650" s="602"/>
    </row>
    <row r="651" spans="1:18" ht="15.75" customHeight="1">
      <c r="A651" s="602"/>
      <c r="B651" s="602"/>
      <c r="C651" s="602"/>
      <c r="D651" s="602"/>
      <c r="E651" s="602"/>
      <c r="F651" s="602"/>
      <c r="G651" s="602"/>
      <c r="H651" s="602"/>
      <c r="I651" s="602"/>
      <c r="J651" s="602"/>
      <c r="K651" s="602"/>
      <c r="L651" s="602"/>
      <c r="M651" s="602"/>
      <c r="N651" s="602"/>
      <c r="O651" s="602"/>
      <c r="P651" s="602"/>
      <c r="Q651" s="602"/>
      <c r="R651" s="602"/>
    </row>
    <row r="652" spans="1:18" ht="15.75" customHeight="1">
      <c r="A652" s="602"/>
      <c r="B652" s="602"/>
      <c r="C652" s="602"/>
      <c r="D652" s="602"/>
      <c r="E652" s="602"/>
      <c r="F652" s="602"/>
      <c r="G652" s="602"/>
      <c r="H652" s="602"/>
      <c r="I652" s="602"/>
      <c r="J652" s="602"/>
      <c r="K652" s="602"/>
      <c r="L652" s="602"/>
      <c r="M652" s="602"/>
      <c r="N652" s="602"/>
      <c r="O652" s="602"/>
      <c r="P652" s="602"/>
      <c r="Q652" s="602"/>
      <c r="R652" s="602"/>
    </row>
    <row r="653" spans="1:18" ht="15.75" customHeight="1">
      <c r="A653" s="602"/>
      <c r="B653" s="602"/>
      <c r="C653" s="602"/>
      <c r="D653" s="602"/>
      <c r="E653" s="602"/>
      <c r="F653" s="602"/>
      <c r="G653" s="602"/>
      <c r="H653" s="602"/>
      <c r="I653" s="602"/>
      <c r="J653" s="602"/>
      <c r="K653" s="602"/>
      <c r="L653" s="602"/>
      <c r="M653" s="602"/>
      <c r="N653" s="602"/>
      <c r="O653" s="602"/>
      <c r="P653" s="602"/>
      <c r="Q653" s="602"/>
      <c r="R653" s="602"/>
    </row>
    <row r="654" spans="1:18" ht="15.75" customHeight="1">
      <c r="A654" s="602"/>
      <c r="B654" s="602"/>
      <c r="C654" s="602"/>
      <c r="D654" s="602"/>
      <c r="E654" s="602"/>
      <c r="F654" s="602"/>
      <c r="G654" s="602"/>
      <c r="H654" s="602"/>
      <c r="I654" s="602"/>
      <c r="J654" s="602"/>
      <c r="K654" s="602"/>
      <c r="L654" s="602"/>
      <c r="M654" s="602"/>
      <c r="N654" s="602"/>
      <c r="O654" s="602"/>
      <c r="P654" s="602"/>
      <c r="Q654" s="602"/>
      <c r="R654" s="602"/>
    </row>
    <row r="655" spans="1:18" ht="15.75" customHeight="1">
      <c r="A655" s="602"/>
      <c r="B655" s="602"/>
      <c r="C655" s="602"/>
      <c r="D655" s="602"/>
      <c r="E655" s="602"/>
      <c r="F655" s="602"/>
      <c r="G655" s="602"/>
      <c r="H655" s="602"/>
      <c r="I655" s="602"/>
      <c r="J655" s="602"/>
      <c r="K655" s="602"/>
      <c r="L655" s="602"/>
      <c r="M655" s="602"/>
      <c r="N655" s="602"/>
      <c r="O655" s="602"/>
      <c r="P655" s="602"/>
      <c r="Q655" s="602"/>
      <c r="R655" s="602"/>
    </row>
    <row r="656" spans="1:18" ht="15.75" customHeight="1">
      <c r="A656" s="602"/>
      <c r="B656" s="602"/>
      <c r="C656" s="602"/>
      <c r="D656" s="602"/>
      <c r="E656" s="602"/>
      <c r="F656" s="602"/>
      <c r="G656" s="602"/>
      <c r="H656" s="602"/>
      <c r="I656" s="602"/>
      <c r="J656" s="602"/>
      <c r="K656" s="602"/>
      <c r="L656" s="602"/>
      <c r="M656" s="602"/>
      <c r="N656" s="602"/>
      <c r="O656" s="602"/>
      <c r="P656" s="602"/>
      <c r="Q656" s="602"/>
      <c r="R656" s="602"/>
    </row>
    <row r="657" spans="1:18" ht="15.75" customHeight="1">
      <c r="A657" s="602"/>
      <c r="B657" s="602"/>
      <c r="C657" s="602"/>
      <c r="D657" s="602"/>
      <c r="E657" s="602"/>
      <c r="F657" s="602"/>
      <c r="G657" s="602"/>
      <c r="H657" s="602"/>
      <c r="I657" s="602"/>
      <c r="J657" s="602"/>
      <c r="K657" s="602"/>
      <c r="L657" s="602"/>
      <c r="M657" s="602"/>
      <c r="N657" s="602"/>
      <c r="O657" s="602"/>
      <c r="P657" s="602"/>
      <c r="Q657" s="602"/>
      <c r="R657" s="602"/>
    </row>
    <row r="658" spans="1:18" ht="15.75" customHeight="1">
      <c r="A658" s="602"/>
      <c r="B658" s="602"/>
      <c r="C658" s="602"/>
      <c r="D658" s="602"/>
      <c r="E658" s="602"/>
      <c r="F658" s="602"/>
      <c r="G658" s="602"/>
      <c r="H658" s="602"/>
      <c r="I658" s="602"/>
      <c r="J658" s="602"/>
      <c r="K658" s="602"/>
      <c r="L658" s="602"/>
      <c r="M658" s="602"/>
      <c r="N658" s="602"/>
      <c r="O658" s="602"/>
      <c r="P658" s="602"/>
      <c r="Q658" s="602"/>
      <c r="R658" s="602"/>
    </row>
    <row r="659" spans="1:18" ht="15.75" customHeight="1">
      <c r="A659" s="602"/>
      <c r="B659" s="602"/>
      <c r="C659" s="602"/>
      <c r="D659" s="602"/>
      <c r="E659" s="602"/>
      <c r="F659" s="602"/>
      <c r="G659" s="602"/>
      <c r="H659" s="602"/>
      <c r="I659" s="602"/>
      <c r="J659" s="602"/>
      <c r="K659" s="602"/>
      <c r="L659" s="602"/>
      <c r="M659" s="602"/>
      <c r="N659" s="602"/>
      <c r="O659" s="602"/>
      <c r="P659" s="602"/>
      <c r="Q659" s="602"/>
      <c r="R659" s="602"/>
    </row>
    <row r="660" spans="1:18" ht="15.75" customHeight="1">
      <c r="A660" s="602"/>
      <c r="B660" s="602"/>
      <c r="C660" s="602"/>
      <c r="D660" s="602"/>
      <c r="E660" s="602"/>
      <c r="F660" s="602"/>
      <c r="G660" s="602"/>
      <c r="H660" s="602"/>
      <c r="I660" s="602"/>
      <c r="J660" s="602"/>
      <c r="K660" s="602"/>
      <c r="L660" s="602"/>
      <c r="M660" s="602"/>
      <c r="N660" s="602"/>
      <c r="O660" s="602"/>
      <c r="P660" s="602"/>
      <c r="Q660" s="602"/>
      <c r="R660" s="602"/>
    </row>
    <row r="661" spans="1:18" ht="15.75" customHeight="1">
      <c r="A661" s="602"/>
      <c r="B661" s="602"/>
      <c r="C661" s="602"/>
      <c r="D661" s="602"/>
      <c r="E661" s="602"/>
      <c r="F661" s="602"/>
      <c r="G661" s="602"/>
      <c r="H661" s="602"/>
      <c r="I661" s="602"/>
      <c r="J661" s="602"/>
      <c r="K661" s="602"/>
      <c r="L661" s="602"/>
      <c r="M661" s="602"/>
      <c r="N661" s="602"/>
      <c r="O661" s="602"/>
      <c r="P661" s="602"/>
      <c r="Q661" s="602"/>
      <c r="R661" s="602"/>
    </row>
    <row r="662" spans="1:18" ht="15.75" customHeight="1">
      <c r="A662" s="602"/>
      <c r="B662" s="602"/>
      <c r="C662" s="602"/>
      <c r="D662" s="602"/>
      <c r="E662" s="602"/>
      <c r="F662" s="602"/>
      <c r="G662" s="602"/>
      <c r="H662" s="602"/>
      <c r="I662" s="602"/>
      <c r="J662" s="602"/>
      <c r="K662" s="602"/>
      <c r="L662" s="602"/>
      <c r="M662" s="602"/>
      <c r="N662" s="602"/>
      <c r="O662" s="602"/>
      <c r="P662" s="602"/>
      <c r="Q662" s="602"/>
      <c r="R662" s="602"/>
    </row>
    <row r="663" spans="1:18" ht="15.75" customHeight="1">
      <c r="A663" s="602"/>
      <c r="B663" s="602"/>
      <c r="C663" s="602"/>
      <c r="D663" s="602"/>
      <c r="E663" s="602"/>
      <c r="F663" s="602"/>
      <c r="G663" s="602"/>
      <c r="H663" s="602"/>
      <c r="I663" s="602"/>
      <c r="J663" s="602"/>
      <c r="K663" s="602"/>
      <c r="L663" s="602"/>
      <c r="M663" s="602"/>
      <c r="N663" s="602"/>
      <c r="O663" s="602"/>
      <c r="P663" s="602"/>
      <c r="Q663" s="602"/>
      <c r="R663" s="602"/>
    </row>
    <row r="664" spans="1:18" ht="15.75" customHeight="1">
      <c r="A664" s="602"/>
      <c r="B664" s="602"/>
      <c r="C664" s="602"/>
      <c r="D664" s="602"/>
      <c r="E664" s="602"/>
      <c r="F664" s="602"/>
      <c r="G664" s="602"/>
      <c r="H664" s="602"/>
      <c r="I664" s="602"/>
      <c r="J664" s="602"/>
      <c r="K664" s="602"/>
      <c r="L664" s="602"/>
      <c r="M664" s="602"/>
      <c r="N664" s="602"/>
      <c r="O664" s="602"/>
      <c r="P664" s="602"/>
      <c r="Q664" s="602"/>
      <c r="R664" s="602"/>
    </row>
    <row r="665" spans="1:18" ht="15.75" customHeight="1">
      <c r="A665" s="602"/>
      <c r="B665" s="602"/>
      <c r="C665" s="602"/>
      <c r="D665" s="602"/>
      <c r="E665" s="602"/>
      <c r="F665" s="602"/>
      <c r="G665" s="602"/>
      <c r="H665" s="602"/>
      <c r="I665" s="602"/>
      <c r="J665" s="602"/>
      <c r="K665" s="602"/>
      <c r="L665" s="602"/>
      <c r="M665" s="602"/>
      <c r="N665" s="602"/>
      <c r="O665" s="602"/>
      <c r="P665" s="602"/>
      <c r="Q665" s="602"/>
      <c r="R665" s="602"/>
    </row>
    <row r="666" spans="1:18" ht="15.75" customHeight="1">
      <c r="A666" s="602"/>
      <c r="B666" s="602"/>
      <c r="C666" s="602"/>
      <c r="D666" s="602"/>
      <c r="E666" s="602"/>
      <c r="F666" s="602"/>
      <c r="G666" s="602"/>
      <c r="H666" s="602"/>
      <c r="I666" s="602"/>
      <c r="J666" s="602"/>
      <c r="K666" s="602"/>
      <c r="L666" s="602"/>
      <c r="M666" s="602"/>
      <c r="N666" s="602"/>
      <c r="O666" s="602"/>
      <c r="P666" s="602"/>
      <c r="Q666" s="602"/>
      <c r="R666" s="602"/>
    </row>
    <row r="667" spans="1:18" ht="15.75" customHeight="1">
      <c r="A667" s="602"/>
      <c r="B667" s="602"/>
      <c r="C667" s="602"/>
      <c r="D667" s="602"/>
      <c r="E667" s="602"/>
      <c r="F667" s="602"/>
      <c r="G667" s="602"/>
      <c r="H667" s="602"/>
      <c r="I667" s="602"/>
      <c r="J667" s="602"/>
      <c r="K667" s="602"/>
      <c r="L667" s="602"/>
      <c r="M667" s="602"/>
      <c r="N667" s="602"/>
      <c r="O667" s="602"/>
      <c r="P667" s="602"/>
      <c r="Q667" s="602"/>
      <c r="R667" s="602"/>
    </row>
    <row r="668" spans="1:18" ht="15.75" customHeight="1">
      <c r="A668" s="602"/>
      <c r="B668" s="602"/>
      <c r="C668" s="602"/>
      <c r="D668" s="602"/>
      <c r="E668" s="602"/>
      <c r="F668" s="602"/>
      <c r="G668" s="602"/>
      <c r="H668" s="602"/>
      <c r="I668" s="602"/>
      <c r="J668" s="602"/>
      <c r="K668" s="602"/>
      <c r="L668" s="602"/>
      <c r="M668" s="602"/>
      <c r="N668" s="602"/>
      <c r="O668" s="602"/>
      <c r="P668" s="602"/>
      <c r="Q668" s="602"/>
      <c r="R668" s="602"/>
    </row>
    <row r="669" spans="1:18" ht="15.75" customHeight="1">
      <c r="A669" s="602"/>
      <c r="B669" s="602"/>
      <c r="C669" s="602"/>
      <c r="D669" s="602"/>
      <c r="E669" s="602"/>
      <c r="F669" s="602"/>
      <c r="G669" s="602"/>
      <c r="H669" s="602"/>
      <c r="I669" s="602"/>
      <c r="J669" s="602"/>
      <c r="K669" s="602"/>
      <c r="L669" s="602"/>
      <c r="M669" s="602"/>
      <c r="N669" s="602"/>
      <c r="O669" s="602"/>
      <c r="P669" s="602"/>
      <c r="Q669" s="602"/>
      <c r="R669" s="602"/>
    </row>
    <row r="670" spans="1:18" ht="15.75" customHeight="1">
      <c r="A670" s="602"/>
      <c r="B670" s="602"/>
      <c r="C670" s="602"/>
      <c r="D670" s="602"/>
      <c r="E670" s="602"/>
      <c r="F670" s="602"/>
      <c r="G670" s="602"/>
      <c r="H670" s="602"/>
      <c r="I670" s="602"/>
      <c r="J670" s="602"/>
      <c r="K670" s="602"/>
      <c r="L670" s="602"/>
      <c r="M670" s="602"/>
      <c r="N670" s="602"/>
      <c r="O670" s="602"/>
      <c r="P670" s="602"/>
      <c r="Q670" s="602"/>
      <c r="R670" s="602"/>
    </row>
    <row r="671" spans="1:18" ht="15.75" customHeight="1">
      <c r="A671" s="602"/>
      <c r="B671" s="602"/>
      <c r="C671" s="602"/>
      <c r="D671" s="602"/>
      <c r="E671" s="602"/>
      <c r="F671" s="602"/>
      <c r="G671" s="602"/>
      <c r="H671" s="602"/>
      <c r="I671" s="602"/>
      <c r="J671" s="602"/>
      <c r="K671" s="602"/>
      <c r="L671" s="602"/>
      <c r="M671" s="602"/>
      <c r="N671" s="602"/>
      <c r="O671" s="602"/>
      <c r="P671" s="602"/>
      <c r="Q671" s="602"/>
      <c r="R671" s="602"/>
    </row>
    <row r="672" spans="1:18" ht="15.75" customHeight="1">
      <c r="A672" s="602"/>
      <c r="B672" s="602"/>
      <c r="C672" s="602"/>
      <c r="D672" s="602"/>
      <c r="E672" s="602"/>
      <c r="F672" s="602"/>
      <c r="G672" s="602"/>
      <c r="H672" s="602"/>
      <c r="I672" s="602"/>
      <c r="J672" s="602"/>
      <c r="K672" s="602"/>
      <c r="L672" s="602"/>
      <c r="M672" s="602"/>
      <c r="N672" s="602"/>
      <c r="O672" s="602"/>
      <c r="P672" s="602"/>
      <c r="Q672" s="602"/>
      <c r="R672" s="602"/>
    </row>
    <row r="673" spans="1:18" ht="15.75" customHeight="1">
      <c r="A673" s="602"/>
      <c r="B673" s="602"/>
      <c r="C673" s="602"/>
      <c r="D673" s="602"/>
      <c r="E673" s="602"/>
      <c r="F673" s="602"/>
      <c r="G673" s="602"/>
      <c r="H673" s="602"/>
      <c r="I673" s="602"/>
      <c r="J673" s="602"/>
      <c r="K673" s="602"/>
      <c r="L673" s="602"/>
      <c r="M673" s="602"/>
      <c r="N673" s="602"/>
      <c r="O673" s="602"/>
      <c r="P673" s="602"/>
      <c r="Q673" s="602"/>
      <c r="R673" s="602"/>
    </row>
    <row r="674" spans="1:18" ht="15.75" customHeight="1">
      <c r="A674" s="602"/>
      <c r="B674" s="602"/>
      <c r="C674" s="602"/>
      <c r="D674" s="602"/>
      <c r="E674" s="602"/>
      <c r="F674" s="602"/>
      <c r="G674" s="602"/>
      <c r="H674" s="602"/>
      <c r="I674" s="602"/>
      <c r="J674" s="602"/>
      <c r="K674" s="602"/>
      <c r="L674" s="602"/>
      <c r="M674" s="602"/>
      <c r="N674" s="602"/>
      <c r="O674" s="602"/>
      <c r="P674" s="602"/>
      <c r="Q674" s="602"/>
      <c r="R674" s="602"/>
    </row>
    <row r="675" spans="1:18" ht="15.75" customHeight="1">
      <c r="A675" s="602"/>
      <c r="B675" s="602"/>
      <c r="C675" s="602"/>
      <c r="D675" s="602"/>
      <c r="E675" s="602"/>
      <c r="F675" s="602"/>
      <c r="G675" s="602"/>
      <c r="H675" s="602"/>
      <c r="I675" s="602"/>
      <c r="J675" s="602"/>
      <c r="K675" s="602"/>
      <c r="L675" s="602"/>
      <c r="M675" s="602"/>
      <c r="N675" s="602"/>
      <c r="O675" s="602"/>
      <c r="P675" s="602"/>
      <c r="Q675" s="602"/>
      <c r="R675" s="602"/>
    </row>
    <row r="676" spans="1:18" ht="15.75" customHeight="1">
      <c r="A676" s="602"/>
      <c r="B676" s="602"/>
      <c r="C676" s="602"/>
      <c r="D676" s="602"/>
      <c r="E676" s="602"/>
      <c r="F676" s="602"/>
      <c r="G676" s="602"/>
      <c r="H676" s="602"/>
      <c r="I676" s="602"/>
      <c r="J676" s="602"/>
      <c r="K676" s="602"/>
      <c r="L676" s="602"/>
      <c r="M676" s="602"/>
      <c r="N676" s="602"/>
      <c r="O676" s="602"/>
      <c r="P676" s="602"/>
      <c r="Q676" s="602"/>
      <c r="R676" s="602"/>
    </row>
    <row r="677" spans="1:18" ht="15.75" customHeight="1">
      <c r="A677" s="602"/>
      <c r="B677" s="602"/>
      <c r="C677" s="602"/>
      <c r="D677" s="602"/>
      <c r="E677" s="602"/>
      <c r="F677" s="602"/>
      <c r="G677" s="602"/>
      <c r="H677" s="602"/>
      <c r="I677" s="602"/>
      <c r="J677" s="602"/>
      <c r="K677" s="602"/>
      <c r="L677" s="602"/>
      <c r="M677" s="602"/>
      <c r="N677" s="602"/>
      <c r="O677" s="602"/>
      <c r="P677" s="602"/>
      <c r="Q677" s="602"/>
      <c r="R677" s="602"/>
    </row>
    <row r="678" spans="1:18" ht="15.75" customHeight="1">
      <c r="A678" s="602"/>
      <c r="B678" s="602"/>
      <c r="C678" s="602"/>
      <c r="D678" s="602"/>
      <c r="E678" s="602"/>
      <c r="F678" s="602"/>
      <c r="G678" s="602"/>
      <c r="H678" s="602"/>
      <c r="I678" s="602"/>
      <c r="J678" s="602"/>
      <c r="K678" s="602"/>
      <c r="L678" s="602"/>
      <c r="M678" s="602"/>
      <c r="N678" s="602"/>
      <c r="O678" s="602"/>
      <c r="P678" s="602"/>
      <c r="Q678" s="602"/>
      <c r="R678" s="602"/>
    </row>
    <row r="679" spans="1:18" ht="15.75" customHeight="1">
      <c r="A679" s="602"/>
      <c r="B679" s="602"/>
      <c r="C679" s="602"/>
      <c r="D679" s="602"/>
      <c r="E679" s="602"/>
      <c r="F679" s="602"/>
      <c r="G679" s="602"/>
      <c r="H679" s="602"/>
      <c r="I679" s="602"/>
      <c r="J679" s="602"/>
      <c r="K679" s="602"/>
      <c r="L679" s="602"/>
      <c r="M679" s="602"/>
      <c r="N679" s="602"/>
      <c r="O679" s="602"/>
      <c r="P679" s="602"/>
      <c r="Q679" s="602"/>
      <c r="R679" s="602"/>
    </row>
    <row r="680" spans="1:18" ht="15.75" customHeight="1">
      <c r="A680" s="602"/>
      <c r="B680" s="602"/>
      <c r="C680" s="602"/>
      <c r="D680" s="602"/>
      <c r="E680" s="602"/>
      <c r="F680" s="602"/>
      <c r="G680" s="602"/>
      <c r="H680" s="602"/>
      <c r="I680" s="602"/>
      <c r="J680" s="602"/>
      <c r="K680" s="602"/>
      <c r="L680" s="602"/>
      <c r="M680" s="602"/>
      <c r="N680" s="602"/>
      <c r="O680" s="602"/>
      <c r="P680" s="602"/>
      <c r="Q680" s="602"/>
      <c r="R680" s="602"/>
    </row>
    <row r="681" spans="1:18" ht="15.75" customHeight="1">
      <c r="A681" s="602"/>
      <c r="B681" s="602"/>
      <c r="C681" s="602"/>
      <c r="D681" s="602"/>
      <c r="E681" s="602"/>
      <c r="F681" s="602"/>
      <c r="G681" s="602"/>
      <c r="H681" s="602"/>
      <c r="I681" s="602"/>
      <c r="J681" s="602"/>
      <c r="K681" s="602"/>
      <c r="L681" s="602"/>
      <c r="M681" s="602"/>
      <c r="N681" s="602"/>
      <c r="O681" s="602"/>
      <c r="P681" s="602"/>
      <c r="Q681" s="602"/>
      <c r="R681" s="602"/>
    </row>
    <row r="682" spans="1:18" ht="15.75" customHeight="1">
      <c r="A682" s="602"/>
      <c r="B682" s="602"/>
      <c r="C682" s="602"/>
      <c r="D682" s="602"/>
      <c r="E682" s="602"/>
      <c r="F682" s="602"/>
      <c r="G682" s="602"/>
      <c r="H682" s="602"/>
      <c r="I682" s="602"/>
      <c r="J682" s="602"/>
      <c r="K682" s="602"/>
      <c r="L682" s="602"/>
      <c r="M682" s="602"/>
      <c r="N682" s="602"/>
      <c r="O682" s="602"/>
      <c r="P682" s="602"/>
      <c r="Q682" s="602"/>
      <c r="R682" s="602"/>
    </row>
    <row r="683" spans="1:18" ht="15.75" customHeight="1">
      <c r="A683" s="602"/>
      <c r="B683" s="602"/>
      <c r="C683" s="602"/>
      <c r="D683" s="602"/>
      <c r="E683" s="602"/>
      <c r="F683" s="602"/>
      <c r="G683" s="602"/>
      <c r="H683" s="602"/>
      <c r="I683" s="602"/>
      <c r="J683" s="602"/>
      <c r="K683" s="602"/>
      <c r="L683" s="602"/>
      <c r="M683" s="602"/>
      <c r="N683" s="602"/>
      <c r="O683" s="602"/>
      <c r="P683" s="602"/>
      <c r="Q683" s="602"/>
      <c r="R683" s="602"/>
    </row>
    <row r="684" spans="1:18" ht="15.75" customHeight="1">
      <c r="A684" s="602"/>
      <c r="B684" s="602"/>
      <c r="C684" s="602"/>
      <c r="D684" s="602"/>
      <c r="E684" s="602"/>
      <c r="F684" s="602"/>
      <c r="G684" s="602"/>
      <c r="H684" s="602"/>
      <c r="I684" s="602"/>
      <c r="J684" s="602"/>
      <c r="K684" s="602"/>
      <c r="L684" s="602"/>
      <c r="M684" s="602"/>
      <c r="N684" s="602"/>
      <c r="O684" s="602"/>
      <c r="P684" s="602"/>
      <c r="Q684" s="602"/>
      <c r="R684" s="602"/>
    </row>
    <row r="685" spans="1:18" ht="15.75" customHeight="1">
      <c r="A685" s="602"/>
      <c r="B685" s="602"/>
      <c r="C685" s="602"/>
      <c r="D685" s="602"/>
      <c r="E685" s="602"/>
      <c r="F685" s="602"/>
      <c r="G685" s="602"/>
      <c r="H685" s="602"/>
      <c r="I685" s="602"/>
      <c r="J685" s="602"/>
      <c r="K685" s="602"/>
      <c r="L685" s="602"/>
      <c r="M685" s="602"/>
      <c r="N685" s="602"/>
      <c r="O685" s="602"/>
      <c r="P685" s="602"/>
      <c r="Q685" s="602"/>
      <c r="R685" s="602"/>
    </row>
    <row r="686" spans="1:18" ht="15.75" customHeight="1">
      <c r="A686" s="602"/>
      <c r="B686" s="602"/>
      <c r="C686" s="602"/>
      <c r="D686" s="602"/>
      <c r="E686" s="602"/>
      <c r="F686" s="602"/>
      <c r="G686" s="602"/>
      <c r="H686" s="602"/>
      <c r="I686" s="602"/>
      <c r="J686" s="602"/>
      <c r="K686" s="602"/>
      <c r="L686" s="602"/>
      <c r="M686" s="602"/>
      <c r="N686" s="602"/>
      <c r="O686" s="602"/>
      <c r="P686" s="602"/>
      <c r="Q686" s="602"/>
      <c r="R686" s="602"/>
    </row>
    <row r="687" spans="1:18" ht="15.75" customHeight="1">
      <c r="A687" s="602"/>
      <c r="B687" s="602"/>
      <c r="C687" s="602"/>
      <c r="D687" s="602"/>
      <c r="E687" s="602"/>
      <c r="F687" s="602"/>
      <c r="G687" s="602"/>
      <c r="H687" s="602"/>
      <c r="I687" s="602"/>
      <c r="J687" s="602"/>
      <c r="K687" s="602"/>
      <c r="L687" s="602"/>
      <c r="M687" s="602"/>
      <c r="N687" s="602"/>
      <c r="O687" s="602"/>
      <c r="P687" s="602"/>
      <c r="Q687" s="602"/>
      <c r="R687" s="602"/>
    </row>
    <row r="688" spans="1:18" ht="15.75" customHeight="1">
      <c r="A688" s="602"/>
      <c r="B688" s="602"/>
      <c r="C688" s="602"/>
      <c r="D688" s="602"/>
      <c r="E688" s="602"/>
      <c r="F688" s="602"/>
      <c r="G688" s="602"/>
      <c r="H688" s="602"/>
      <c r="I688" s="602"/>
      <c r="J688" s="602"/>
      <c r="K688" s="602"/>
      <c r="L688" s="602"/>
      <c r="M688" s="602"/>
      <c r="N688" s="602"/>
      <c r="O688" s="602"/>
      <c r="P688" s="602"/>
      <c r="Q688" s="602"/>
      <c r="R688" s="602"/>
    </row>
    <row r="689" spans="1:18" ht="15.75" customHeight="1">
      <c r="A689" s="602"/>
      <c r="B689" s="602"/>
      <c r="C689" s="602"/>
      <c r="D689" s="602"/>
      <c r="E689" s="602"/>
      <c r="F689" s="602"/>
      <c r="G689" s="602"/>
      <c r="H689" s="602"/>
      <c r="I689" s="602"/>
      <c r="J689" s="602"/>
      <c r="K689" s="602"/>
      <c r="L689" s="602"/>
      <c r="M689" s="602"/>
      <c r="N689" s="602"/>
      <c r="O689" s="602"/>
      <c r="P689" s="602"/>
      <c r="Q689" s="602"/>
      <c r="R689" s="602"/>
    </row>
    <row r="690" spans="1:18" ht="15.75" customHeight="1">
      <c r="A690" s="602"/>
      <c r="B690" s="602"/>
      <c r="C690" s="602"/>
      <c r="D690" s="602"/>
      <c r="E690" s="602"/>
      <c r="F690" s="602"/>
      <c r="G690" s="602"/>
      <c r="H690" s="602"/>
      <c r="I690" s="602"/>
      <c r="J690" s="602"/>
      <c r="K690" s="602"/>
      <c r="L690" s="602"/>
      <c r="M690" s="602"/>
      <c r="N690" s="602"/>
      <c r="O690" s="602"/>
      <c r="P690" s="602"/>
      <c r="Q690" s="602"/>
      <c r="R690" s="602"/>
    </row>
    <row r="691" spans="1:18" ht="15.75" customHeight="1">
      <c r="A691" s="602"/>
      <c r="B691" s="602"/>
      <c r="C691" s="602"/>
      <c r="D691" s="602"/>
      <c r="E691" s="602"/>
      <c r="F691" s="602"/>
      <c r="G691" s="602"/>
      <c r="H691" s="602"/>
      <c r="I691" s="602"/>
      <c r="J691" s="602"/>
      <c r="K691" s="602"/>
      <c r="L691" s="602"/>
      <c r="M691" s="602"/>
      <c r="N691" s="602"/>
      <c r="O691" s="602"/>
      <c r="P691" s="602"/>
      <c r="Q691" s="602"/>
      <c r="R691" s="602"/>
    </row>
    <row r="692" spans="1:18" ht="15.75" customHeight="1">
      <c r="A692" s="602"/>
      <c r="B692" s="602"/>
      <c r="C692" s="602"/>
      <c r="D692" s="602"/>
      <c r="E692" s="602"/>
      <c r="F692" s="602"/>
      <c r="G692" s="602"/>
      <c r="H692" s="602"/>
      <c r="I692" s="602"/>
      <c r="J692" s="602"/>
      <c r="K692" s="602"/>
      <c r="L692" s="602"/>
      <c r="M692" s="602"/>
      <c r="N692" s="602"/>
      <c r="O692" s="602"/>
      <c r="P692" s="602"/>
      <c r="Q692" s="602"/>
      <c r="R692" s="602"/>
    </row>
    <row r="693" spans="1:18" ht="15.75" customHeight="1">
      <c r="A693" s="602"/>
      <c r="B693" s="602"/>
      <c r="C693" s="602"/>
      <c r="D693" s="602"/>
      <c r="E693" s="602"/>
      <c r="F693" s="602"/>
      <c r="G693" s="602"/>
      <c r="H693" s="602"/>
      <c r="I693" s="602"/>
      <c r="J693" s="602"/>
      <c r="K693" s="602"/>
      <c r="L693" s="602"/>
      <c r="M693" s="602"/>
      <c r="N693" s="602"/>
      <c r="O693" s="602"/>
      <c r="P693" s="602"/>
      <c r="Q693" s="602"/>
      <c r="R693" s="602"/>
    </row>
    <row r="694" spans="1:18" ht="15.75" customHeight="1">
      <c r="A694" s="602"/>
      <c r="B694" s="602"/>
      <c r="C694" s="602"/>
      <c r="D694" s="602"/>
      <c r="E694" s="602"/>
      <c r="F694" s="602"/>
      <c r="G694" s="602"/>
      <c r="H694" s="602"/>
      <c r="I694" s="602"/>
      <c r="J694" s="602"/>
      <c r="K694" s="602"/>
      <c r="L694" s="602"/>
      <c r="M694" s="602"/>
      <c r="N694" s="602"/>
      <c r="O694" s="602"/>
      <c r="P694" s="602"/>
      <c r="Q694" s="602"/>
      <c r="R694" s="602"/>
    </row>
    <row r="695" spans="1:18" ht="15.75" customHeight="1">
      <c r="A695" s="602"/>
      <c r="B695" s="602"/>
      <c r="C695" s="602"/>
      <c r="D695" s="602"/>
      <c r="E695" s="602"/>
      <c r="F695" s="602"/>
      <c r="G695" s="602"/>
      <c r="H695" s="602"/>
      <c r="I695" s="602"/>
      <c r="J695" s="602"/>
      <c r="K695" s="602"/>
      <c r="L695" s="602"/>
      <c r="M695" s="602"/>
      <c r="N695" s="602"/>
      <c r="O695" s="602"/>
      <c r="P695" s="602"/>
      <c r="Q695" s="602"/>
      <c r="R695" s="602"/>
    </row>
    <row r="696" spans="1:18" ht="15.75" customHeight="1">
      <c r="A696" s="602"/>
      <c r="B696" s="602"/>
      <c r="C696" s="602"/>
      <c r="D696" s="602"/>
      <c r="E696" s="602"/>
      <c r="F696" s="602"/>
      <c r="G696" s="602"/>
      <c r="H696" s="602"/>
      <c r="I696" s="602"/>
      <c r="J696" s="602"/>
      <c r="K696" s="602"/>
      <c r="L696" s="602"/>
      <c r="M696" s="602"/>
      <c r="N696" s="602"/>
      <c r="O696" s="602"/>
      <c r="P696" s="602"/>
      <c r="Q696" s="602"/>
      <c r="R696" s="602"/>
    </row>
    <row r="697" spans="1:18" ht="15.75" customHeight="1">
      <c r="A697" s="602"/>
      <c r="B697" s="602"/>
      <c r="C697" s="602"/>
      <c r="D697" s="602"/>
      <c r="E697" s="602"/>
      <c r="F697" s="602"/>
      <c r="G697" s="602"/>
      <c r="H697" s="602"/>
      <c r="I697" s="602"/>
      <c r="J697" s="602"/>
      <c r="K697" s="602"/>
      <c r="L697" s="602"/>
      <c r="M697" s="602"/>
      <c r="N697" s="602"/>
      <c r="O697" s="602"/>
      <c r="P697" s="602"/>
      <c r="Q697" s="602"/>
      <c r="R697" s="602"/>
    </row>
    <row r="698" spans="1:18" ht="15.75" customHeight="1">
      <c r="A698" s="602"/>
      <c r="B698" s="602"/>
      <c r="C698" s="602"/>
      <c r="D698" s="602"/>
      <c r="E698" s="602"/>
      <c r="F698" s="602"/>
      <c r="G698" s="602"/>
      <c r="H698" s="602"/>
      <c r="I698" s="602"/>
      <c r="J698" s="602"/>
      <c r="K698" s="602"/>
      <c r="L698" s="602"/>
      <c r="M698" s="602"/>
      <c r="N698" s="602"/>
      <c r="O698" s="602"/>
      <c r="P698" s="602"/>
      <c r="Q698" s="602"/>
      <c r="R698" s="602"/>
    </row>
    <row r="699" spans="1:18" ht="15.75" customHeight="1">
      <c r="A699" s="602"/>
      <c r="B699" s="602"/>
      <c r="C699" s="602"/>
      <c r="D699" s="602"/>
      <c r="E699" s="602"/>
      <c r="F699" s="602"/>
      <c r="G699" s="602"/>
      <c r="H699" s="602"/>
      <c r="I699" s="602"/>
      <c r="J699" s="602"/>
      <c r="K699" s="602"/>
      <c r="L699" s="602"/>
      <c r="M699" s="602"/>
      <c r="N699" s="602"/>
      <c r="O699" s="602"/>
      <c r="P699" s="602"/>
      <c r="Q699" s="602"/>
      <c r="R699" s="602"/>
    </row>
    <row r="700" spans="1:18" ht="15.75" customHeight="1">
      <c r="A700" s="602"/>
      <c r="B700" s="602"/>
      <c r="C700" s="602"/>
      <c r="D700" s="602"/>
      <c r="E700" s="602"/>
      <c r="F700" s="602"/>
      <c r="G700" s="602"/>
      <c r="H700" s="602"/>
      <c r="I700" s="602"/>
      <c r="J700" s="602"/>
      <c r="K700" s="602"/>
      <c r="L700" s="602"/>
      <c r="M700" s="602"/>
      <c r="N700" s="602"/>
      <c r="O700" s="602"/>
      <c r="P700" s="602"/>
      <c r="Q700" s="602"/>
      <c r="R700" s="602"/>
    </row>
    <row r="701" spans="1:18" ht="15.75" customHeight="1">
      <c r="A701" s="602"/>
      <c r="B701" s="602"/>
      <c r="C701" s="602"/>
      <c r="D701" s="602"/>
      <c r="E701" s="602"/>
      <c r="F701" s="602"/>
      <c r="G701" s="602"/>
      <c r="H701" s="602"/>
      <c r="I701" s="602"/>
      <c r="J701" s="602"/>
      <c r="K701" s="602"/>
      <c r="L701" s="602"/>
      <c r="M701" s="602"/>
      <c r="N701" s="602"/>
      <c r="O701" s="602"/>
      <c r="P701" s="602"/>
      <c r="Q701" s="602"/>
      <c r="R701" s="602"/>
    </row>
    <row r="702" spans="1:18" ht="15.75" customHeight="1">
      <c r="A702" s="602"/>
      <c r="B702" s="602"/>
      <c r="C702" s="602"/>
      <c r="D702" s="602"/>
      <c r="E702" s="602"/>
      <c r="F702" s="602"/>
      <c r="G702" s="602"/>
      <c r="H702" s="602"/>
      <c r="I702" s="602"/>
      <c r="J702" s="602"/>
      <c r="K702" s="602"/>
      <c r="L702" s="602"/>
      <c r="M702" s="602"/>
      <c r="N702" s="602"/>
      <c r="O702" s="602"/>
      <c r="P702" s="602"/>
      <c r="Q702" s="602"/>
      <c r="R702" s="602"/>
    </row>
    <row r="703" spans="1:18" ht="15.75" customHeight="1">
      <c r="A703" s="602"/>
      <c r="B703" s="602"/>
      <c r="C703" s="602"/>
      <c r="D703" s="602"/>
      <c r="E703" s="602"/>
      <c r="F703" s="602"/>
      <c r="G703" s="602"/>
      <c r="H703" s="602"/>
      <c r="I703" s="602"/>
      <c r="J703" s="602"/>
      <c r="K703" s="602"/>
      <c r="L703" s="602"/>
      <c r="M703" s="602"/>
      <c r="N703" s="602"/>
      <c r="O703" s="602"/>
      <c r="P703" s="602"/>
      <c r="Q703" s="602"/>
      <c r="R703" s="602"/>
    </row>
    <row r="704" spans="1:18" ht="15.75" customHeight="1">
      <c r="A704" s="602"/>
      <c r="B704" s="602"/>
      <c r="C704" s="602"/>
      <c r="D704" s="602"/>
      <c r="E704" s="602"/>
      <c r="F704" s="602"/>
      <c r="G704" s="602"/>
      <c r="H704" s="602"/>
      <c r="I704" s="602"/>
      <c r="J704" s="602"/>
      <c r="K704" s="602"/>
      <c r="L704" s="602"/>
      <c r="M704" s="602"/>
      <c r="N704" s="602"/>
      <c r="O704" s="602"/>
      <c r="P704" s="602"/>
      <c r="Q704" s="602"/>
      <c r="R704" s="602"/>
    </row>
    <row r="705" spans="1:18" ht="15.75" customHeight="1">
      <c r="A705" s="602"/>
      <c r="B705" s="602"/>
      <c r="C705" s="602"/>
      <c r="D705" s="602"/>
      <c r="E705" s="602"/>
      <c r="F705" s="602"/>
      <c r="G705" s="602"/>
      <c r="H705" s="602"/>
      <c r="I705" s="602"/>
      <c r="J705" s="602"/>
      <c r="K705" s="602"/>
      <c r="L705" s="602"/>
      <c r="M705" s="602"/>
      <c r="N705" s="602"/>
      <c r="O705" s="602"/>
      <c r="P705" s="602"/>
      <c r="Q705" s="602"/>
      <c r="R705" s="602"/>
    </row>
    <row r="706" spans="1:18" ht="15.75" customHeight="1">
      <c r="A706" s="602"/>
      <c r="B706" s="602"/>
      <c r="C706" s="602"/>
      <c r="D706" s="602"/>
      <c r="E706" s="602"/>
      <c r="F706" s="602"/>
      <c r="G706" s="602"/>
      <c r="H706" s="602"/>
      <c r="I706" s="602"/>
      <c r="J706" s="602"/>
      <c r="K706" s="602"/>
      <c r="L706" s="602"/>
      <c r="M706" s="602"/>
      <c r="N706" s="602"/>
      <c r="O706" s="602"/>
      <c r="P706" s="602"/>
      <c r="Q706" s="602"/>
      <c r="R706" s="602"/>
    </row>
    <row r="707" spans="1:18" ht="15.75" customHeight="1">
      <c r="A707" s="602"/>
      <c r="B707" s="602"/>
      <c r="C707" s="602"/>
      <c r="D707" s="602"/>
      <c r="E707" s="602"/>
      <c r="F707" s="602"/>
      <c r="G707" s="602"/>
      <c r="H707" s="602"/>
      <c r="I707" s="602"/>
      <c r="J707" s="602"/>
      <c r="K707" s="602"/>
      <c r="L707" s="602"/>
      <c r="M707" s="602"/>
      <c r="N707" s="602"/>
      <c r="O707" s="602"/>
      <c r="P707" s="602"/>
      <c r="Q707" s="602"/>
      <c r="R707" s="602"/>
    </row>
    <row r="708" spans="1:18" ht="15.75" customHeight="1">
      <c r="A708" s="602"/>
      <c r="B708" s="602"/>
      <c r="C708" s="602"/>
      <c r="D708" s="602"/>
      <c r="E708" s="602"/>
      <c r="F708" s="602"/>
      <c r="G708" s="602"/>
      <c r="H708" s="602"/>
      <c r="I708" s="602"/>
      <c r="J708" s="602"/>
      <c r="K708" s="602"/>
      <c r="L708" s="602"/>
      <c r="M708" s="602"/>
      <c r="N708" s="602"/>
      <c r="O708" s="602"/>
      <c r="P708" s="602"/>
      <c r="Q708" s="602"/>
      <c r="R708" s="602"/>
    </row>
    <row r="709" spans="1:18" ht="15.75" customHeight="1">
      <c r="A709" s="602"/>
      <c r="B709" s="602"/>
      <c r="C709" s="602"/>
      <c r="D709" s="602"/>
      <c r="E709" s="602"/>
      <c r="F709" s="602"/>
      <c r="G709" s="602"/>
      <c r="H709" s="602"/>
      <c r="I709" s="602"/>
      <c r="J709" s="602"/>
      <c r="K709" s="602"/>
      <c r="L709" s="602"/>
      <c r="M709" s="602"/>
      <c r="N709" s="602"/>
      <c r="O709" s="602"/>
      <c r="P709" s="602"/>
      <c r="Q709" s="602"/>
      <c r="R709" s="602"/>
    </row>
    <row r="710" spans="1:18" ht="15.75" customHeight="1">
      <c r="A710" s="602"/>
      <c r="B710" s="602"/>
      <c r="C710" s="602"/>
      <c r="D710" s="602"/>
      <c r="E710" s="602"/>
      <c r="F710" s="602"/>
      <c r="G710" s="602"/>
      <c r="H710" s="602"/>
      <c r="I710" s="602"/>
      <c r="J710" s="602"/>
      <c r="K710" s="602"/>
      <c r="L710" s="602"/>
      <c r="M710" s="602"/>
      <c r="N710" s="602"/>
      <c r="O710" s="602"/>
      <c r="P710" s="602"/>
      <c r="Q710" s="602"/>
      <c r="R710" s="602"/>
    </row>
    <row r="711" spans="1:18" ht="15.75" customHeight="1">
      <c r="A711" s="602"/>
      <c r="B711" s="602"/>
      <c r="C711" s="602"/>
      <c r="D711" s="602"/>
      <c r="E711" s="602"/>
      <c r="F711" s="602"/>
      <c r="G711" s="602"/>
      <c r="H711" s="602"/>
      <c r="I711" s="602"/>
      <c r="J711" s="602"/>
      <c r="K711" s="602"/>
      <c r="L711" s="602"/>
      <c r="M711" s="602"/>
      <c r="N711" s="602"/>
      <c r="O711" s="602"/>
      <c r="P711" s="602"/>
      <c r="Q711" s="602"/>
      <c r="R711" s="602"/>
    </row>
    <row r="712" spans="1:18" ht="15.75" customHeight="1">
      <c r="A712" s="602"/>
      <c r="B712" s="602"/>
      <c r="C712" s="602"/>
      <c r="D712" s="602"/>
      <c r="E712" s="602"/>
      <c r="F712" s="602"/>
      <c r="G712" s="602"/>
      <c r="H712" s="602"/>
      <c r="I712" s="602"/>
      <c r="J712" s="602"/>
      <c r="K712" s="602"/>
      <c r="L712" s="602"/>
      <c r="M712" s="602"/>
      <c r="N712" s="602"/>
      <c r="O712" s="602"/>
      <c r="P712" s="602"/>
      <c r="Q712" s="602"/>
      <c r="R712" s="602"/>
    </row>
    <row r="713" spans="1:18" ht="15.75" customHeight="1">
      <c r="A713" s="602"/>
      <c r="B713" s="602"/>
      <c r="C713" s="602"/>
      <c r="D713" s="602"/>
      <c r="E713" s="602"/>
      <c r="F713" s="602"/>
      <c r="G713" s="602"/>
      <c r="H713" s="602"/>
      <c r="I713" s="602"/>
      <c r="J713" s="602"/>
      <c r="K713" s="602"/>
      <c r="L713" s="602"/>
      <c r="M713" s="602"/>
      <c r="N713" s="602"/>
      <c r="O713" s="602"/>
      <c r="P713" s="602"/>
      <c r="Q713" s="602"/>
      <c r="R713" s="602"/>
    </row>
    <row r="714" spans="1:18" ht="15.75" customHeight="1">
      <c r="A714" s="602"/>
      <c r="B714" s="602"/>
      <c r="C714" s="602"/>
      <c r="D714" s="602"/>
      <c r="E714" s="602"/>
      <c r="F714" s="602"/>
      <c r="G714" s="602"/>
      <c r="H714" s="602"/>
      <c r="I714" s="602"/>
      <c r="J714" s="602"/>
      <c r="K714" s="602"/>
      <c r="L714" s="602"/>
      <c r="M714" s="602"/>
      <c r="N714" s="602"/>
      <c r="O714" s="602"/>
      <c r="P714" s="602"/>
      <c r="Q714" s="602"/>
      <c r="R714" s="602"/>
    </row>
    <row r="715" spans="1:18" ht="15.75" customHeight="1">
      <c r="A715" s="602"/>
      <c r="B715" s="602"/>
      <c r="C715" s="602"/>
      <c r="D715" s="602"/>
      <c r="E715" s="602"/>
      <c r="F715" s="602"/>
      <c r="G715" s="602"/>
      <c r="H715" s="602"/>
      <c r="I715" s="602"/>
      <c r="J715" s="602"/>
      <c r="K715" s="602"/>
      <c r="L715" s="602"/>
      <c r="M715" s="602"/>
      <c r="N715" s="602"/>
      <c r="O715" s="602"/>
      <c r="P715" s="602"/>
      <c r="Q715" s="602"/>
      <c r="R715" s="602"/>
    </row>
    <row r="716" spans="1:18" ht="15.75" customHeight="1">
      <c r="A716" s="602"/>
      <c r="B716" s="602"/>
      <c r="C716" s="602"/>
      <c r="D716" s="602"/>
      <c r="E716" s="602"/>
      <c r="F716" s="602"/>
      <c r="G716" s="602"/>
      <c r="H716" s="602"/>
      <c r="I716" s="602"/>
      <c r="J716" s="602"/>
      <c r="K716" s="602"/>
      <c r="L716" s="602"/>
      <c r="M716" s="602"/>
      <c r="N716" s="602"/>
      <c r="O716" s="602"/>
      <c r="P716" s="602"/>
      <c r="Q716" s="602"/>
      <c r="R716" s="602"/>
    </row>
    <row r="717" spans="1:18" ht="15.75" customHeight="1">
      <c r="A717" s="602"/>
      <c r="B717" s="602"/>
      <c r="C717" s="602"/>
      <c r="D717" s="602"/>
      <c r="E717" s="602"/>
      <c r="F717" s="602"/>
      <c r="G717" s="602"/>
      <c r="H717" s="602"/>
      <c r="I717" s="602"/>
      <c r="J717" s="602"/>
      <c r="K717" s="602"/>
      <c r="L717" s="602"/>
      <c r="M717" s="602"/>
      <c r="N717" s="602"/>
      <c r="O717" s="602"/>
      <c r="P717" s="602"/>
      <c r="Q717" s="602"/>
      <c r="R717" s="602"/>
    </row>
    <row r="718" spans="1:18" ht="15.75" customHeight="1">
      <c r="A718" s="602"/>
      <c r="B718" s="602"/>
      <c r="C718" s="602"/>
      <c r="D718" s="602"/>
      <c r="E718" s="602"/>
      <c r="F718" s="602"/>
      <c r="G718" s="602"/>
      <c r="H718" s="602"/>
      <c r="I718" s="602"/>
      <c r="J718" s="602"/>
      <c r="K718" s="602"/>
      <c r="L718" s="602"/>
      <c r="M718" s="602"/>
      <c r="N718" s="602"/>
      <c r="O718" s="602"/>
      <c r="P718" s="602"/>
      <c r="Q718" s="602"/>
      <c r="R718" s="602"/>
    </row>
    <row r="719" spans="1:18" ht="15.75" customHeight="1">
      <c r="A719" s="602"/>
      <c r="B719" s="602"/>
      <c r="C719" s="602"/>
      <c r="D719" s="602"/>
      <c r="E719" s="602"/>
      <c r="F719" s="602"/>
      <c r="G719" s="602"/>
      <c r="H719" s="602"/>
      <c r="I719" s="602"/>
      <c r="J719" s="602"/>
      <c r="K719" s="602"/>
      <c r="L719" s="602"/>
      <c r="M719" s="602"/>
      <c r="N719" s="602"/>
      <c r="O719" s="602"/>
      <c r="P719" s="602"/>
      <c r="Q719" s="602"/>
      <c r="R719" s="602"/>
    </row>
    <row r="720" spans="1:18" ht="15.75" customHeight="1">
      <c r="A720" s="602"/>
      <c r="B720" s="602"/>
      <c r="C720" s="602"/>
      <c r="D720" s="602"/>
      <c r="E720" s="602"/>
      <c r="F720" s="602"/>
      <c r="G720" s="602"/>
      <c r="H720" s="602"/>
      <c r="I720" s="602"/>
      <c r="J720" s="602"/>
      <c r="K720" s="602"/>
      <c r="L720" s="602"/>
      <c r="M720" s="602"/>
      <c r="N720" s="602"/>
      <c r="O720" s="602"/>
      <c r="P720" s="602"/>
      <c r="Q720" s="602"/>
      <c r="R720" s="602"/>
    </row>
    <row r="721" spans="1:18" ht="15.75" customHeight="1">
      <c r="A721" s="602"/>
      <c r="B721" s="602"/>
      <c r="C721" s="602"/>
      <c r="D721" s="602"/>
      <c r="E721" s="602"/>
      <c r="F721" s="602"/>
      <c r="G721" s="602"/>
      <c r="H721" s="602"/>
      <c r="I721" s="602"/>
      <c r="J721" s="602"/>
      <c r="K721" s="602"/>
      <c r="L721" s="602"/>
      <c r="M721" s="602"/>
      <c r="N721" s="602"/>
      <c r="O721" s="602"/>
      <c r="P721" s="602"/>
      <c r="Q721" s="602"/>
      <c r="R721" s="602"/>
    </row>
    <row r="722" spans="1:18" ht="15.75" customHeight="1">
      <c r="A722" s="602"/>
      <c r="B722" s="602"/>
      <c r="C722" s="602"/>
      <c r="D722" s="602"/>
      <c r="E722" s="602"/>
      <c r="F722" s="602"/>
      <c r="G722" s="602"/>
      <c r="H722" s="602"/>
      <c r="I722" s="602"/>
      <c r="J722" s="602"/>
      <c r="K722" s="602"/>
      <c r="L722" s="602"/>
      <c r="M722" s="602"/>
      <c r="N722" s="602"/>
      <c r="O722" s="602"/>
      <c r="P722" s="602"/>
      <c r="Q722" s="602"/>
      <c r="R722" s="602"/>
    </row>
    <row r="723" spans="1:18" ht="15.75" customHeight="1">
      <c r="A723" s="602"/>
      <c r="B723" s="602"/>
      <c r="C723" s="602"/>
      <c r="D723" s="602"/>
      <c r="E723" s="602"/>
      <c r="F723" s="602"/>
      <c r="G723" s="602"/>
      <c r="H723" s="602"/>
      <c r="I723" s="602"/>
      <c r="J723" s="602"/>
      <c r="K723" s="602"/>
      <c r="L723" s="602"/>
      <c r="M723" s="602"/>
      <c r="N723" s="602"/>
      <c r="O723" s="602"/>
      <c r="P723" s="602"/>
      <c r="Q723" s="602"/>
      <c r="R723" s="602"/>
    </row>
    <row r="724" spans="1:18" ht="15.75" customHeight="1">
      <c r="A724" s="602"/>
      <c r="B724" s="602"/>
      <c r="C724" s="602"/>
      <c r="D724" s="602"/>
      <c r="E724" s="602"/>
      <c r="F724" s="602"/>
      <c r="G724" s="602"/>
      <c r="H724" s="602"/>
      <c r="I724" s="602"/>
      <c r="J724" s="602"/>
      <c r="K724" s="602"/>
      <c r="L724" s="602"/>
      <c r="M724" s="602"/>
      <c r="N724" s="602"/>
      <c r="O724" s="602"/>
      <c r="P724" s="602"/>
      <c r="Q724" s="602"/>
      <c r="R724" s="602"/>
    </row>
    <row r="725" spans="1:18" ht="15.75" customHeight="1">
      <c r="A725" s="602"/>
      <c r="B725" s="602"/>
      <c r="C725" s="602"/>
      <c r="D725" s="602"/>
      <c r="E725" s="602"/>
      <c r="F725" s="602"/>
      <c r="G725" s="602"/>
      <c r="H725" s="602"/>
      <c r="I725" s="602"/>
      <c r="J725" s="602"/>
      <c r="K725" s="602"/>
      <c r="L725" s="602"/>
      <c r="M725" s="602"/>
      <c r="N725" s="602"/>
      <c r="O725" s="602"/>
      <c r="P725" s="602"/>
      <c r="Q725" s="602"/>
      <c r="R725" s="602"/>
    </row>
    <row r="726" spans="1:18" ht="15.75" customHeight="1">
      <c r="A726" s="602"/>
      <c r="B726" s="602"/>
      <c r="C726" s="602"/>
      <c r="D726" s="602"/>
      <c r="E726" s="602"/>
      <c r="F726" s="602"/>
      <c r="G726" s="602"/>
      <c r="H726" s="602"/>
      <c r="I726" s="602"/>
      <c r="J726" s="602"/>
      <c r="K726" s="602"/>
      <c r="L726" s="602"/>
      <c r="M726" s="602"/>
      <c r="N726" s="602"/>
      <c r="O726" s="602"/>
      <c r="P726" s="602"/>
      <c r="Q726" s="602"/>
      <c r="R726" s="602"/>
    </row>
    <row r="727" spans="1:18" ht="15.75" customHeight="1">
      <c r="A727" s="602"/>
      <c r="B727" s="602"/>
      <c r="C727" s="602"/>
      <c r="D727" s="602"/>
      <c r="E727" s="602"/>
      <c r="F727" s="602"/>
      <c r="G727" s="602"/>
      <c r="H727" s="602"/>
      <c r="I727" s="602"/>
      <c r="J727" s="602"/>
      <c r="K727" s="602"/>
      <c r="L727" s="602"/>
      <c r="M727" s="602"/>
      <c r="N727" s="602"/>
      <c r="O727" s="602"/>
      <c r="P727" s="602"/>
      <c r="Q727" s="602"/>
      <c r="R727" s="602"/>
    </row>
    <row r="728" spans="1:18" ht="15.75" customHeight="1">
      <c r="A728" s="602"/>
      <c r="B728" s="602"/>
      <c r="C728" s="602"/>
      <c r="D728" s="602"/>
      <c r="E728" s="602"/>
      <c r="F728" s="602"/>
      <c r="G728" s="602"/>
      <c r="H728" s="602"/>
      <c r="I728" s="602"/>
      <c r="J728" s="602"/>
      <c r="K728" s="602"/>
      <c r="L728" s="602"/>
      <c r="M728" s="602"/>
      <c r="N728" s="602"/>
      <c r="O728" s="602"/>
      <c r="P728" s="602"/>
      <c r="Q728" s="602"/>
      <c r="R728" s="602"/>
    </row>
    <row r="729" spans="1:18" ht="15.75" customHeight="1">
      <c r="A729" s="602"/>
      <c r="B729" s="602"/>
      <c r="C729" s="602"/>
      <c r="D729" s="602"/>
      <c r="E729" s="602"/>
      <c r="F729" s="602"/>
      <c r="G729" s="602"/>
      <c r="H729" s="602"/>
      <c r="I729" s="602"/>
      <c r="J729" s="602"/>
      <c r="K729" s="602"/>
      <c r="L729" s="602"/>
      <c r="M729" s="602"/>
      <c r="N729" s="602"/>
      <c r="O729" s="602"/>
      <c r="P729" s="602"/>
      <c r="Q729" s="602"/>
      <c r="R729" s="602"/>
    </row>
    <row r="730" spans="1:18" ht="15.75" customHeight="1">
      <c r="A730" s="602"/>
      <c r="B730" s="602"/>
      <c r="C730" s="602"/>
      <c r="D730" s="602"/>
      <c r="E730" s="602"/>
      <c r="F730" s="602"/>
      <c r="G730" s="602"/>
      <c r="H730" s="602"/>
      <c r="I730" s="602"/>
      <c r="J730" s="602"/>
      <c r="K730" s="602"/>
      <c r="L730" s="602"/>
      <c r="M730" s="602"/>
      <c r="N730" s="602"/>
      <c r="O730" s="602"/>
      <c r="P730" s="602"/>
      <c r="Q730" s="602"/>
      <c r="R730" s="602"/>
    </row>
    <row r="731" spans="1:18" ht="15.75" customHeight="1">
      <c r="A731" s="602"/>
      <c r="B731" s="602"/>
      <c r="C731" s="602"/>
      <c r="D731" s="602"/>
      <c r="E731" s="602"/>
      <c r="F731" s="602"/>
      <c r="G731" s="602"/>
      <c r="H731" s="602"/>
      <c r="I731" s="602"/>
      <c r="J731" s="602"/>
      <c r="K731" s="602"/>
      <c r="L731" s="602"/>
      <c r="M731" s="602"/>
      <c r="N731" s="602"/>
      <c r="O731" s="602"/>
      <c r="P731" s="602"/>
      <c r="Q731" s="602"/>
      <c r="R731" s="602"/>
    </row>
    <row r="732" spans="1:18" ht="15.75" customHeight="1">
      <c r="A732" s="602"/>
      <c r="B732" s="602"/>
      <c r="C732" s="602"/>
      <c r="D732" s="602"/>
      <c r="E732" s="602"/>
      <c r="F732" s="602"/>
      <c r="G732" s="602"/>
      <c r="H732" s="602"/>
      <c r="I732" s="602"/>
      <c r="J732" s="602"/>
      <c r="K732" s="602"/>
      <c r="L732" s="602"/>
      <c r="M732" s="602"/>
      <c r="N732" s="602"/>
      <c r="O732" s="602"/>
      <c r="P732" s="602"/>
      <c r="Q732" s="602"/>
      <c r="R732" s="602"/>
    </row>
    <row r="733" spans="1:18" ht="15.75" customHeight="1">
      <c r="A733" s="602"/>
      <c r="B733" s="602"/>
      <c r="C733" s="602"/>
      <c r="D733" s="602"/>
      <c r="E733" s="602"/>
      <c r="F733" s="602"/>
      <c r="G733" s="602"/>
      <c r="H733" s="602"/>
      <c r="I733" s="602"/>
      <c r="J733" s="602"/>
      <c r="K733" s="602"/>
      <c r="L733" s="602"/>
      <c r="M733" s="602"/>
      <c r="N733" s="602"/>
      <c r="O733" s="602"/>
      <c r="P733" s="602"/>
      <c r="Q733" s="602"/>
      <c r="R733" s="602"/>
    </row>
    <row r="734" spans="1:18" ht="15.75" customHeight="1">
      <c r="A734" s="602"/>
      <c r="B734" s="602"/>
      <c r="C734" s="602"/>
      <c r="D734" s="602"/>
      <c r="E734" s="602"/>
      <c r="F734" s="602"/>
      <c r="G734" s="602"/>
      <c r="H734" s="602"/>
      <c r="I734" s="602"/>
      <c r="J734" s="602"/>
      <c r="K734" s="602"/>
      <c r="L734" s="602"/>
      <c r="M734" s="602"/>
      <c r="N734" s="602"/>
      <c r="O734" s="602"/>
      <c r="P734" s="602"/>
      <c r="Q734" s="602"/>
      <c r="R734" s="602"/>
    </row>
    <row r="735" spans="1:18" ht="15.75" customHeight="1">
      <c r="A735" s="602"/>
      <c r="B735" s="602"/>
      <c r="C735" s="602"/>
      <c r="D735" s="602"/>
      <c r="E735" s="602"/>
      <c r="F735" s="602"/>
      <c r="G735" s="602"/>
      <c r="H735" s="602"/>
      <c r="I735" s="602"/>
      <c r="J735" s="602"/>
      <c r="K735" s="602"/>
      <c r="L735" s="602"/>
      <c r="M735" s="602"/>
      <c r="N735" s="602"/>
      <c r="O735" s="602"/>
      <c r="P735" s="602"/>
      <c r="Q735" s="602"/>
      <c r="R735" s="602"/>
    </row>
    <row r="736" spans="1:18" ht="15.75" customHeight="1">
      <c r="A736" s="602"/>
      <c r="B736" s="602"/>
      <c r="C736" s="602"/>
      <c r="D736" s="602"/>
      <c r="E736" s="602"/>
      <c r="F736" s="602"/>
      <c r="G736" s="602"/>
      <c r="H736" s="602"/>
      <c r="I736" s="602"/>
      <c r="J736" s="602"/>
      <c r="K736" s="602"/>
      <c r="L736" s="602"/>
      <c r="M736" s="602"/>
      <c r="N736" s="602"/>
      <c r="O736" s="602"/>
      <c r="P736" s="602"/>
      <c r="Q736" s="602"/>
      <c r="R736" s="602"/>
    </row>
    <row r="737" spans="1:18" ht="15.75" customHeight="1">
      <c r="A737" s="602"/>
      <c r="B737" s="602"/>
      <c r="C737" s="602"/>
      <c r="D737" s="602"/>
      <c r="E737" s="602"/>
      <c r="F737" s="602"/>
      <c r="G737" s="602"/>
      <c r="H737" s="602"/>
      <c r="I737" s="602"/>
      <c r="J737" s="602"/>
      <c r="K737" s="602"/>
      <c r="L737" s="602"/>
      <c r="M737" s="602"/>
      <c r="N737" s="602"/>
      <c r="O737" s="602"/>
      <c r="P737" s="602"/>
      <c r="Q737" s="602"/>
      <c r="R737" s="602"/>
    </row>
    <row r="738" spans="1:18" ht="15.75" customHeight="1">
      <c r="A738" s="602"/>
      <c r="B738" s="602"/>
      <c r="C738" s="602"/>
      <c r="D738" s="602"/>
      <c r="E738" s="602"/>
      <c r="F738" s="602"/>
      <c r="G738" s="602"/>
      <c r="H738" s="602"/>
      <c r="I738" s="602"/>
      <c r="J738" s="602"/>
      <c r="K738" s="602"/>
      <c r="L738" s="602"/>
      <c r="M738" s="602"/>
      <c r="N738" s="602"/>
      <c r="O738" s="602"/>
      <c r="P738" s="602"/>
      <c r="Q738" s="602"/>
      <c r="R738" s="602"/>
    </row>
    <row r="739" spans="1:18" ht="15.75" customHeight="1">
      <c r="A739" s="602"/>
      <c r="B739" s="602"/>
      <c r="C739" s="602"/>
      <c r="D739" s="602"/>
      <c r="E739" s="602"/>
      <c r="F739" s="602"/>
      <c r="G739" s="602"/>
      <c r="H739" s="602"/>
      <c r="I739" s="602"/>
      <c r="J739" s="602"/>
      <c r="K739" s="602"/>
      <c r="L739" s="602"/>
      <c r="M739" s="602"/>
      <c r="N739" s="602"/>
      <c r="O739" s="602"/>
      <c r="P739" s="602"/>
      <c r="Q739" s="602"/>
      <c r="R739" s="602"/>
    </row>
    <row r="740" spans="1:18" ht="15.75" customHeight="1">
      <c r="A740" s="602"/>
      <c r="B740" s="602"/>
      <c r="C740" s="602"/>
      <c r="D740" s="602"/>
      <c r="E740" s="602"/>
      <c r="F740" s="602"/>
      <c r="G740" s="602"/>
      <c r="H740" s="602"/>
      <c r="I740" s="602"/>
      <c r="J740" s="602"/>
      <c r="K740" s="602"/>
      <c r="L740" s="602"/>
      <c r="M740" s="602"/>
      <c r="N740" s="602"/>
      <c r="O740" s="602"/>
      <c r="P740" s="602"/>
      <c r="Q740" s="602"/>
      <c r="R740" s="602"/>
    </row>
    <row r="741" spans="1:18" ht="15.75" customHeight="1">
      <c r="A741" s="602"/>
      <c r="B741" s="602"/>
      <c r="C741" s="602"/>
      <c r="D741" s="602"/>
      <c r="E741" s="602"/>
      <c r="F741" s="602"/>
      <c r="G741" s="602"/>
      <c r="H741" s="602"/>
      <c r="I741" s="602"/>
      <c r="J741" s="602"/>
      <c r="K741" s="602"/>
      <c r="L741" s="602"/>
      <c r="M741" s="602"/>
      <c r="N741" s="602"/>
      <c r="O741" s="602"/>
      <c r="P741" s="602"/>
      <c r="Q741" s="602"/>
      <c r="R741" s="602"/>
    </row>
    <row r="742" spans="1:18" ht="15.75" customHeight="1">
      <c r="A742" s="602"/>
      <c r="B742" s="602"/>
      <c r="C742" s="602"/>
      <c r="D742" s="602"/>
      <c r="E742" s="602"/>
      <c r="F742" s="602"/>
      <c r="G742" s="602"/>
      <c r="H742" s="602"/>
      <c r="I742" s="602"/>
      <c r="J742" s="602"/>
      <c r="K742" s="602"/>
      <c r="L742" s="602"/>
      <c r="M742" s="602"/>
      <c r="N742" s="602"/>
      <c r="O742" s="602"/>
      <c r="P742" s="602"/>
      <c r="Q742" s="602"/>
      <c r="R742" s="602"/>
    </row>
    <row r="743" spans="1:18" ht="15.75" customHeight="1">
      <c r="A743" s="602"/>
      <c r="B743" s="602"/>
      <c r="C743" s="602"/>
      <c r="D743" s="602"/>
      <c r="E743" s="602"/>
      <c r="F743" s="602"/>
      <c r="G743" s="602"/>
      <c r="H743" s="602"/>
      <c r="I743" s="602"/>
      <c r="J743" s="602"/>
      <c r="K743" s="602"/>
      <c r="L743" s="602"/>
      <c r="M743" s="602"/>
      <c r="N743" s="602"/>
      <c r="O743" s="602"/>
      <c r="P743" s="602"/>
      <c r="Q743" s="602"/>
      <c r="R743" s="602"/>
    </row>
    <row r="744" spans="1:18" ht="15.75" customHeight="1">
      <c r="A744" s="602"/>
      <c r="B744" s="602"/>
      <c r="C744" s="602"/>
      <c r="D744" s="602"/>
      <c r="E744" s="602"/>
      <c r="F744" s="602"/>
      <c r="G744" s="602"/>
      <c r="H744" s="602"/>
      <c r="I744" s="602"/>
      <c r="J744" s="602"/>
      <c r="K744" s="602"/>
      <c r="L744" s="602"/>
      <c r="M744" s="602"/>
      <c r="N744" s="602"/>
      <c r="O744" s="602"/>
      <c r="P744" s="602"/>
      <c r="Q744" s="602"/>
      <c r="R744" s="602"/>
    </row>
    <row r="745" spans="1:18" ht="15.75" customHeight="1">
      <c r="A745" s="602"/>
      <c r="B745" s="602"/>
      <c r="C745" s="602"/>
      <c r="D745" s="602"/>
      <c r="E745" s="602"/>
      <c r="F745" s="602"/>
      <c r="G745" s="602"/>
      <c r="H745" s="602"/>
      <c r="I745" s="602"/>
      <c r="J745" s="602"/>
      <c r="K745" s="602"/>
      <c r="L745" s="602"/>
      <c r="M745" s="602"/>
      <c r="N745" s="602"/>
      <c r="O745" s="602"/>
      <c r="P745" s="602"/>
      <c r="Q745" s="602"/>
      <c r="R745" s="602"/>
    </row>
    <row r="746" spans="1:18" ht="15.75" customHeight="1">
      <c r="A746" s="602"/>
      <c r="B746" s="602"/>
      <c r="C746" s="602"/>
      <c r="D746" s="602"/>
      <c r="E746" s="602"/>
      <c r="F746" s="602"/>
      <c r="G746" s="602"/>
      <c r="H746" s="602"/>
      <c r="I746" s="602"/>
      <c r="J746" s="602"/>
      <c r="K746" s="602"/>
      <c r="L746" s="602"/>
      <c r="M746" s="602"/>
      <c r="N746" s="602"/>
      <c r="O746" s="602"/>
      <c r="P746" s="602"/>
      <c r="Q746" s="602"/>
      <c r="R746" s="602"/>
    </row>
    <row r="747" spans="1:18" ht="15.75" customHeight="1">
      <c r="A747" s="602"/>
      <c r="B747" s="602"/>
      <c r="C747" s="602"/>
      <c r="D747" s="602"/>
      <c r="E747" s="602"/>
      <c r="F747" s="602"/>
      <c r="G747" s="602"/>
      <c r="H747" s="602"/>
      <c r="I747" s="602"/>
      <c r="J747" s="602"/>
      <c r="K747" s="602"/>
      <c r="L747" s="602"/>
      <c r="M747" s="602"/>
      <c r="N747" s="602"/>
      <c r="O747" s="602"/>
      <c r="P747" s="602"/>
      <c r="Q747" s="602"/>
      <c r="R747" s="602"/>
    </row>
    <row r="748" spans="1:18" ht="15.75" customHeight="1">
      <c r="A748" s="602"/>
      <c r="B748" s="602"/>
      <c r="C748" s="602"/>
      <c r="D748" s="602"/>
      <c r="E748" s="602"/>
      <c r="F748" s="602"/>
      <c r="G748" s="602"/>
      <c r="H748" s="602"/>
      <c r="I748" s="602"/>
      <c r="J748" s="602"/>
      <c r="K748" s="602"/>
      <c r="L748" s="602"/>
      <c r="M748" s="602"/>
      <c r="N748" s="602"/>
      <c r="O748" s="602"/>
      <c r="P748" s="602"/>
      <c r="Q748" s="602"/>
      <c r="R748" s="602"/>
    </row>
    <row r="749" spans="1:18" ht="15.75" customHeight="1">
      <c r="A749" s="602"/>
      <c r="B749" s="602"/>
      <c r="C749" s="602"/>
      <c r="D749" s="602"/>
      <c r="E749" s="602"/>
      <c r="F749" s="602"/>
      <c r="G749" s="602"/>
      <c r="H749" s="602"/>
      <c r="I749" s="602"/>
      <c r="J749" s="602"/>
      <c r="K749" s="602"/>
      <c r="L749" s="602"/>
      <c r="M749" s="602"/>
      <c r="N749" s="602"/>
      <c r="O749" s="602"/>
      <c r="P749" s="602"/>
      <c r="Q749" s="602"/>
      <c r="R749" s="602"/>
    </row>
    <row r="750" spans="1:18" ht="15.75" customHeight="1">
      <c r="A750" s="602"/>
      <c r="B750" s="602"/>
      <c r="C750" s="602"/>
      <c r="D750" s="602"/>
      <c r="E750" s="602"/>
      <c r="F750" s="602"/>
      <c r="G750" s="602"/>
      <c r="H750" s="602"/>
      <c r="I750" s="602"/>
      <c r="J750" s="602"/>
      <c r="K750" s="602"/>
      <c r="L750" s="602"/>
      <c r="M750" s="602"/>
      <c r="N750" s="602"/>
      <c r="O750" s="602"/>
      <c r="P750" s="602"/>
      <c r="Q750" s="602"/>
      <c r="R750" s="602"/>
    </row>
    <row r="751" spans="1:18" ht="15.75" customHeight="1">
      <c r="A751" s="602"/>
      <c r="B751" s="602"/>
      <c r="C751" s="602"/>
      <c r="D751" s="602"/>
      <c r="E751" s="602"/>
      <c r="F751" s="602"/>
      <c r="G751" s="602"/>
      <c r="H751" s="602"/>
      <c r="I751" s="602"/>
      <c r="J751" s="602"/>
      <c r="K751" s="602"/>
      <c r="L751" s="602"/>
      <c r="M751" s="602"/>
      <c r="N751" s="602"/>
      <c r="O751" s="602"/>
      <c r="P751" s="602"/>
      <c r="Q751" s="602"/>
      <c r="R751" s="602"/>
    </row>
    <row r="752" spans="1:18" ht="15.75" customHeight="1">
      <c r="A752" s="602"/>
      <c r="B752" s="602"/>
      <c r="C752" s="602"/>
      <c r="D752" s="602"/>
      <c r="E752" s="602"/>
      <c r="F752" s="602"/>
      <c r="G752" s="602"/>
      <c r="H752" s="602"/>
      <c r="I752" s="602"/>
      <c r="J752" s="602"/>
      <c r="K752" s="602"/>
      <c r="L752" s="602"/>
      <c r="M752" s="602"/>
      <c r="N752" s="602"/>
      <c r="O752" s="602"/>
      <c r="P752" s="602"/>
      <c r="Q752" s="602"/>
      <c r="R752" s="602"/>
    </row>
    <row r="753" spans="1:18" ht="15.75" customHeight="1">
      <c r="A753" s="602"/>
      <c r="B753" s="602"/>
      <c r="C753" s="602"/>
      <c r="D753" s="602"/>
      <c r="E753" s="602"/>
      <c r="F753" s="602"/>
      <c r="G753" s="602"/>
      <c r="H753" s="602"/>
      <c r="I753" s="602"/>
      <c r="J753" s="602"/>
      <c r="K753" s="602"/>
      <c r="L753" s="602"/>
      <c r="M753" s="602"/>
      <c r="N753" s="602"/>
      <c r="O753" s="602"/>
      <c r="P753" s="602"/>
      <c r="Q753" s="602"/>
      <c r="R753" s="602"/>
    </row>
    <row r="754" spans="1:18" ht="15.75" customHeight="1">
      <c r="A754" s="602"/>
      <c r="B754" s="602"/>
      <c r="C754" s="602"/>
      <c r="D754" s="602"/>
      <c r="E754" s="602"/>
      <c r="F754" s="602"/>
      <c r="G754" s="602"/>
      <c r="H754" s="602"/>
      <c r="I754" s="602"/>
      <c r="J754" s="602"/>
      <c r="K754" s="602"/>
      <c r="L754" s="602"/>
      <c r="M754" s="602"/>
      <c r="N754" s="602"/>
      <c r="O754" s="602"/>
      <c r="P754" s="602"/>
      <c r="Q754" s="602"/>
      <c r="R754" s="602"/>
    </row>
    <row r="755" spans="1:18" ht="15.75" customHeight="1">
      <c r="A755" s="602"/>
      <c r="B755" s="602"/>
      <c r="C755" s="602"/>
      <c r="D755" s="602"/>
      <c r="E755" s="602"/>
      <c r="F755" s="602"/>
      <c r="G755" s="602"/>
      <c r="H755" s="602"/>
      <c r="I755" s="602"/>
      <c r="J755" s="602"/>
      <c r="K755" s="602"/>
      <c r="L755" s="602"/>
      <c r="M755" s="602"/>
      <c r="N755" s="602"/>
      <c r="O755" s="602"/>
      <c r="P755" s="602"/>
      <c r="Q755" s="602"/>
      <c r="R755" s="602"/>
    </row>
    <row r="756" spans="1:18" ht="15.75" customHeight="1">
      <c r="A756" s="602"/>
      <c r="B756" s="602"/>
      <c r="C756" s="602"/>
      <c r="D756" s="602"/>
      <c r="E756" s="602"/>
      <c r="F756" s="602"/>
      <c r="G756" s="602"/>
      <c r="H756" s="602"/>
      <c r="I756" s="602"/>
      <c r="J756" s="602"/>
      <c r="K756" s="602"/>
      <c r="L756" s="602"/>
      <c r="M756" s="602"/>
      <c r="N756" s="602"/>
      <c r="O756" s="602"/>
      <c r="P756" s="602"/>
      <c r="Q756" s="602"/>
      <c r="R756" s="602"/>
    </row>
    <row r="757" spans="1:18" ht="15.75" customHeight="1">
      <c r="A757" s="602"/>
      <c r="B757" s="602"/>
      <c r="C757" s="602"/>
      <c r="D757" s="602"/>
      <c r="E757" s="602"/>
      <c r="F757" s="602"/>
      <c r="G757" s="602"/>
      <c r="H757" s="602"/>
      <c r="I757" s="602"/>
      <c r="J757" s="602"/>
      <c r="K757" s="602"/>
      <c r="L757" s="602"/>
      <c r="M757" s="602"/>
      <c r="N757" s="602"/>
      <c r="O757" s="602"/>
      <c r="P757" s="602"/>
      <c r="Q757" s="602"/>
      <c r="R757" s="602"/>
    </row>
    <row r="758" spans="1:18" ht="15.75" customHeight="1">
      <c r="A758" s="602"/>
      <c r="B758" s="602"/>
      <c r="C758" s="602"/>
      <c r="D758" s="602"/>
      <c r="E758" s="602"/>
      <c r="F758" s="602"/>
      <c r="G758" s="602"/>
      <c r="H758" s="602"/>
      <c r="I758" s="602"/>
      <c r="J758" s="602"/>
      <c r="K758" s="602"/>
      <c r="L758" s="602"/>
      <c r="M758" s="602"/>
      <c r="N758" s="602"/>
      <c r="O758" s="602"/>
      <c r="P758" s="602"/>
      <c r="Q758" s="602"/>
      <c r="R758" s="602"/>
    </row>
    <row r="759" spans="1:18" ht="15.75" customHeight="1">
      <c r="A759" s="602"/>
      <c r="B759" s="602"/>
      <c r="C759" s="602"/>
      <c r="D759" s="602"/>
      <c r="E759" s="602"/>
      <c r="F759" s="602"/>
      <c r="G759" s="602"/>
      <c r="H759" s="602"/>
      <c r="I759" s="602"/>
      <c r="J759" s="602"/>
      <c r="K759" s="602"/>
      <c r="L759" s="602"/>
      <c r="M759" s="602"/>
      <c r="N759" s="602"/>
      <c r="O759" s="602"/>
      <c r="P759" s="602"/>
      <c r="Q759" s="602"/>
      <c r="R759" s="602"/>
    </row>
    <row r="760" spans="1:18" ht="15.75" customHeight="1">
      <c r="A760" s="602"/>
      <c r="B760" s="602"/>
      <c r="C760" s="602"/>
      <c r="D760" s="602"/>
      <c r="E760" s="602"/>
      <c r="F760" s="602"/>
      <c r="G760" s="602"/>
      <c r="H760" s="602"/>
      <c r="I760" s="602"/>
      <c r="J760" s="602"/>
      <c r="K760" s="602"/>
      <c r="L760" s="602"/>
      <c r="M760" s="602"/>
      <c r="N760" s="602"/>
      <c r="O760" s="602"/>
      <c r="P760" s="602"/>
      <c r="Q760" s="602"/>
      <c r="R760" s="602"/>
    </row>
    <row r="761" spans="1:18" ht="15.75" customHeight="1">
      <c r="A761" s="602"/>
      <c r="B761" s="602"/>
      <c r="C761" s="602"/>
      <c r="D761" s="602"/>
      <c r="E761" s="602"/>
      <c r="F761" s="602"/>
      <c r="G761" s="602"/>
      <c r="H761" s="602"/>
      <c r="I761" s="602"/>
      <c r="J761" s="602"/>
      <c r="K761" s="602"/>
      <c r="L761" s="602"/>
      <c r="M761" s="602"/>
      <c r="N761" s="602"/>
      <c r="O761" s="602"/>
      <c r="P761" s="602"/>
      <c r="Q761" s="602"/>
      <c r="R761" s="602"/>
    </row>
    <row r="762" spans="1:18" ht="15.75" customHeight="1">
      <c r="A762" s="602"/>
      <c r="B762" s="602"/>
      <c r="C762" s="602"/>
      <c r="D762" s="602"/>
      <c r="E762" s="602"/>
      <c r="F762" s="602"/>
      <c r="G762" s="602"/>
      <c r="H762" s="602"/>
      <c r="I762" s="602"/>
      <c r="J762" s="602"/>
      <c r="K762" s="602"/>
      <c r="L762" s="602"/>
      <c r="M762" s="602"/>
      <c r="N762" s="602"/>
      <c r="O762" s="602"/>
      <c r="P762" s="602"/>
      <c r="Q762" s="602"/>
      <c r="R762" s="602"/>
    </row>
    <row r="763" spans="1:18" ht="15.75" customHeight="1">
      <c r="A763" s="602"/>
      <c r="B763" s="602"/>
      <c r="C763" s="602"/>
      <c r="D763" s="602"/>
      <c r="E763" s="602"/>
      <c r="F763" s="602"/>
      <c r="G763" s="602"/>
      <c r="H763" s="602"/>
      <c r="I763" s="602"/>
      <c r="J763" s="602"/>
      <c r="K763" s="602"/>
      <c r="L763" s="602"/>
      <c r="M763" s="602"/>
      <c r="N763" s="602"/>
      <c r="O763" s="602"/>
      <c r="P763" s="602"/>
      <c r="Q763" s="602"/>
      <c r="R763" s="602"/>
    </row>
    <row r="764" spans="1:18" ht="15.75" customHeight="1">
      <c r="A764" s="602"/>
      <c r="B764" s="602"/>
      <c r="C764" s="602"/>
      <c r="D764" s="602"/>
      <c r="E764" s="602"/>
      <c r="F764" s="602"/>
      <c r="G764" s="602"/>
      <c r="H764" s="602"/>
      <c r="I764" s="602"/>
      <c r="J764" s="602"/>
      <c r="K764" s="602"/>
      <c r="L764" s="602"/>
      <c r="M764" s="602"/>
      <c r="N764" s="602"/>
      <c r="O764" s="602"/>
      <c r="P764" s="602"/>
      <c r="Q764" s="602"/>
      <c r="R764" s="602"/>
    </row>
    <row r="765" spans="1:18" ht="15.75" customHeight="1">
      <c r="A765" s="602"/>
      <c r="B765" s="602"/>
      <c r="C765" s="602"/>
      <c r="D765" s="602"/>
      <c r="E765" s="602"/>
      <c r="F765" s="602"/>
      <c r="G765" s="602"/>
      <c r="H765" s="602"/>
      <c r="I765" s="602"/>
      <c r="J765" s="602"/>
      <c r="K765" s="602"/>
      <c r="L765" s="602"/>
      <c r="M765" s="602"/>
      <c r="N765" s="602"/>
      <c r="O765" s="602"/>
      <c r="P765" s="602"/>
      <c r="Q765" s="602"/>
      <c r="R765" s="602"/>
    </row>
    <row r="766" spans="1:18" ht="15.75" customHeight="1">
      <c r="A766" s="602"/>
      <c r="B766" s="602"/>
      <c r="C766" s="602"/>
      <c r="D766" s="602"/>
      <c r="E766" s="602"/>
      <c r="F766" s="602"/>
      <c r="G766" s="602"/>
      <c r="H766" s="602"/>
      <c r="I766" s="602"/>
      <c r="J766" s="602"/>
      <c r="K766" s="602"/>
      <c r="L766" s="602"/>
      <c r="M766" s="602"/>
      <c r="N766" s="602"/>
      <c r="O766" s="602"/>
      <c r="P766" s="602"/>
      <c r="Q766" s="602"/>
      <c r="R766" s="602"/>
    </row>
    <row r="767" spans="1:18" ht="15.75" customHeight="1">
      <c r="A767" s="602"/>
      <c r="B767" s="602"/>
      <c r="C767" s="602"/>
      <c r="D767" s="602"/>
      <c r="E767" s="602"/>
      <c r="F767" s="602"/>
      <c r="G767" s="602"/>
      <c r="H767" s="602"/>
      <c r="I767" s="602"/>
      <c r="J767" s="602"/>
      <c r="K767" s="602"/>
      <c r="L767" s="602"/>
      <c r="M767" s="602"/>
      <c r="N767" s="602"/>
      <c r="O767" s="602"/>
      <c r="P767" s="602"/>
      <c r="Q767" s="602"/>
      <c r="R767" s="602"/>
    </row>
    <row r="768" spans="1:18" ht="15.75" customHeight="1">
      <c r="A768" s="602"/>
      <c r="B768" s="602"/>
      <c r="C768" s="602"/>
      <c r="D768" s="602"/>
      <c r="E768" s="602"/>
      <c r="F768" s="602"/>
      <c r="G768" s="602"/>
      <c r="H768" s="602"/>
      <c r="I768" s="602"/>
      <c r="J768" s="602"/>
      <c r="K768" s="602"/>
      <c r="L768" s="602"/>
      <c r="M768" s="602"/>
      <c r="N768" s="602"/>
      <c r="O768" s="602"/>
      <c r="P768" s="602"/>
      <c r="Q768" s="602"/>
      <c r="R768" s="602"/>
    </row>
    <row r="769" spans="1:18" ht="15.75" customHeight="1">
      <c r="A769" s="602"/>
      <c r="B769" s="602"/>
      <c r="C769" s="602"/>
      <c r="D769" s="602"/>
      <c r="E769" s="602"/>
      <c r="F769" s="602"/>
      <c r="G769" s="602"/>
      <c r="H769" s="602"/>
      <c r="I769" s="602"/>
      <c r="J769" s="602"/>
      <c r="K769" s="602"/>
      <c r="L769" s="602"/>
      <c r="M769" s="602"/>
      <c r="N769" s="602"/>
      <c r="O769" s="602"/>
      <c r="P769" s="602"/>
      <c r="Q769" s="602"/>
      <c r="R769" s="602"/>
    </row>
    <row r="770" spans="1:18" ht="15.75" customHeight="1">
      <c r="A770" s="602"/>
      <c r="B770" s="602"/>
      <c r="C770" s="602"/>
      <c r="D770" s="602"/>
      <c r="E770" s="602"/>
      <c r="F770" s="602"/>
      <c r="G770" s="602"/>
      <c r="H770" s="602"/>
      <c r="I770" s="602"/>
      <c r="J770" s="602"/>
      <c r="K770" s="602"/>
      <c r="L770" s="602"/>
      <c r="M770" s="602"/>
      <c r="N770" s="602"/>
      <c r="O770" s="602"/>
      <c r="P770" s="602"/>
      <c r="Q770" s="602"/>
      <c r="R770" s="602"/>
    </row>
    <row r="771" spans="1:18" ht="15.75" customHeight="1">
      <c r="A771" s="602"/>
      <c r="B771" s="602"/>
      <c r="C771" s="602"/>
      <c r="D771" s="602"/>
      <c r="E771" s="602"/>
      <c r="F771" s="602"/>
      <c r="G771" s="602"/>
      <c r="H771" s="602"/>
      <c r="I771" s="602"/>
      <c r="J771" s="602"/>
      <c r="K771" s="602"/>
      <c r="L771" s="602"/>
      <c r="M771" s="602"/>
      <c r="N771" s="602"/>
      <c r="O771" s="602"/>
      <c r="P771" s="602"/>
      <c r="Q771" s="602"/>
      <c r="R771" s="602"/>
    </row>
    <row r="772" spans="1:18" ht="15.75" customHeight="1">
      <c r="A772" s="602"/>
      <c r="B772" s="602"/>
      <c r="C772" s="602"/>
      <c r="D772" s="602"/>
      <c r="E772" s="602"/>
      <c r="F772" s="602"/>
      <c r="G772" s="602"/>
      <c r="H772" s="602"/>
      <c r="I772" s="602"/>
      <c r="J772" s="602"/>
      <c r="K772" s="602"/>
      <c r="L772" s="602"/>
      <c r="M772" s="602"/>
      <c r="N772" s="602"/>
      <c r="O772" s="602"/>
      <c r="P772" s="602"/>
      <c r="Q772" s="602"/>
      <c r="R772" s="602"/>
    </row>
    <row r="773" spans="1:18" ht="15.75" customHeight="1">
      <c r="A773" s="602"/>
      <c r="B773" s="602"/>
      <c r="C773" s="602"/>
      <c r="D773" s="602"/>
      <c r="E773" s="602"/>
      <c r="F773" s="602"/>
      <c r="G773" s="602"/>
      <c r="H773" s="602"/>
      <c r="I773" s="602"/>
      <c r="J773" s="602"/>
      <c r="K773" s="602"/>
      <c r="L773" s="602"/>
      <c r="M773" s="602"/>
      <c r="N773" s="602"/>
      <c r="O773" s="602"/>
      <c r="P773" s="602"/>
      <c r="Q773" s="602"/>
      <c r="R773" s="602"/>
    </row>
    <row r="774" spans="1:18" ht="15.75" customHeight="1">
      <c r="A774" s="602"/>
      <c r="B774" s="602"/>
      <c r="C774" s="602"/>
      <c r="D774" s="602"/>
      <c r="E774" s="602"/>
      <c r="F774" s="602"/>
      <c r="G774" s="602"/>
      <c r="H774" s="602"/>
      <c r="I774" s="602"/>
      <c r="J774" s="602"/>
      <c r="K774" s="602"/>
      <c r="L774" s="602"/>
      <c r="M774" s="602"/>
      <c r="N774" s="602"/>
      <c r="O774" s="602"/>
      <c r="P774" s="602"/>
      <c r="Q774" s="602"/>
      <c r="R774" s="602"/>
    </row>
    <row r="775" spans="1:18" ht="15.75" customHeight="1">
      <c r="A775" s="602"/>
      <c r="B775" s="602"/>
      <c r="C775" s="602"/>
      <c r="D775" s="602"/>
      <c r="E775" s="602"/>
      <c r="F775" s="602"/>
      <c r="G775" s="602"/>
      <c r="H775" s="602"/>
      <c r="I775" s="602"/>
      <c r="J775" s="602"/>
      <c r="K775" s="602"/>
      <c r="L775" s="602"/>
      <c r="M775" s="602"/>
      <c r="N775" s="602"/>
      <c r="O775" s="602"/>
      <c r="P775" s="602"/>
      <c r="Q775" s="602"/>
      <c r="R775" s="602"/>
    </row>
    <row r="776" spans="1:18" ht="15.75" customHeight="1">
      <c r="A776" s="602"/>
      <c r="B776" s="602"/>
      <c r="C776" s="602"/>
      <c r="D776" s="602"/>
      <c r="E776" s="602"/>
      <c r="F776" s="602"/>
      <c r="G776" s="602"/>
      <c r="H776" s="602"/>
      <c r="I776" s="602"/>
      <c r="J776" s="602"/>
      <c r="K776" s="602"/>
      <c r="L776" s="602"/>
      <c r="M776" s="602"/>
      <c r="N776" s="602"/>
      <c r="O776" s="602"/>
      <c r="P776" s="602"/>
      <c r="Q776" s="602"/>
      <c r="R776" s="602"/>
    </row>
    <row r="777" spans="1:18" ht="15.75" customHeight="1">
      <c r="A777" s="602"/>
      <c r="B777" s="602"/>
      <c r="C777" s="602"/>
      <c r="D777" s="602"/>
      <c r="E777" s="602"/>
      <c r="F777" s="602"/>
      <c r="G777" s="602"/>
      <c r="H777" s="602"/>
      <c r="I777" s="602"/>
      <c r="J777" s="602"/>
      <c r="K777" s="602"/>
      <c r="L777" s="602"/>
      <c r="M777" s="602"/>
      <c r="N777" s="602"/>
      <c r="O777" s="602"/>
      <c r="P777" s="602"/>
      <c r="Q777" s="602"/>
      <c r="R777" s="602"/>
    </row>
    <row r="778" spans="1:18" ht="15.75" customHeight="1">
      <c r="A778" s="602"/>
      <c r="B778" s="602"/>
      <c r="C778" s="602"/>
      <c r="D778" s="602"/>
      <c r="E778" s="602"/>
      <c r="F778" s="602"/>
      <c r="G778" s="602"/>
      <c r="H778" s="602"/>
      <c r="I778" s="602"/>
      <c r="J778" s="602"/>
      <c r="K778" s="602"/>
      <c r="L778" s="602"/>
      <c r="M778" s="602"/>
      <c r="N778" s="602"/>
      <c r="O778" s="602"/>
      <c r="P778" s="602"/>
      <c r="Q778" s="602"/>
      <c r="R778" s="602"/>
    </row>
    <row r="779" spans="1:18" ht="15.75" customHeight="1">
      <c r="A779" s="602"/>
      <c r="B779" s="602"/>
      <c r="C779" s="602"/>
      <c r="D779" s="602"/>
      <c r="E779" s="602"/>
      <c r="F779" s="602"/>
      <c r="G779" s="602"/>
      <c r="H779" s="602"/>
      <c r="I779" s="602"/>
      <c r="J779" s="602"/>
      <c r="K779" s="602"/>
      <c r="L779" s="602"/>
      <c r="M779" s="602"/>
      <c r="N779" s="602"/>
      <c r="O779" s="602"/>
      <c r="P779" s="602"/>
      <c r="Q779" s="602"/>
      <c r="R779" s="602"/>
    </row>
    <row r="780" spans="1:18" ht="15.75" customHeight="1">
      <c r="A780" s="602"/>
      <c r="B780" s="602"/>
      <c r="C780" s="602"/>
      <c r="D780" s="602"/>
      <c r="E780" s="602"/>
      <c r="F780" s="602"/>
      <c r="G780" s="602"/>
      <c r="H780" s="602"/>
      <c r="I780" s="602"/>
      <c r="J780" s="602"/>
      <c r="K780" s="602"/>
      <c r="L780" s="602"/>
      <c r="M780" s="602"/>
      <c r="N780" s="602"/>
      <c r="O780" s="602"/>
      <c r="P780" s="602"/>
      <c r="Q780" s="602"/>
      <c r="R780" s="602"/>
    </row>
    <row r="781" spans="1:18" ht="15.75" customHeight="1">
      <c r="A781" s="602"/>
      <c r="B781" s="602"/>
      <c r="C781" s="602"/>
      <c r="D781" s="602"/>
      <c r="E781" s="602"/>
      <c r="F781" s="602"/>
      <c r="G781" s="602"/>
      <c r="H781" s="602"/>
      <c r="I781" s="602"/>
      <c r="J781" s="602"/>
      <c r="K781" s="602"/>
      <c r="L781" s="602"/>
      <c r="M781" s="602"/>
      <c r="N781" s="602"/>
      <c r="O781" s="602"/>
      <c r="P781" s="602"/>
      <c r="Q781" s="602"/>
      <c r="R781" s="602"/>
    </row>
    <row r="782" spans="1:18" ht="15.75" customHeight="1">
      <c r="A782" s="602"/>
      <c r="B782" s="602"/>
      <c r="C782" s="602"/>
      <c r="D782" s="602"/>
      <c r="E782" s="602"/>
      <c r="F782" s="602"/>
      <c r="G782" s="602"/>
      <c r="H782" s="602"/>
      <c r="I782" s="602"/>
      <c r="J782" s="602"/>
      <c r="K782" s="602"/>
      <c r="L782" s="602"/>
      <c r="M782" s="602"/>
      <c r="N782" s="602"/>
      <c r="O782" s="602"/>
      <c r="P782" s="602"/>
      <c r="Q782" s="602"/>
      <c r="R782" s="602"/>
    </row>
    <row r="783" spans="1:18" ht="15.75" customHeight="1">
      <c r="A783" s="602"/>
      <c r="B783" s="602"/>
      <c r="C783" s="602"/>
      <c r="D783" s="602"/>
      <c r="E783" s="602"/>
      <c r="F783" s="602"/>
      <c r="G783" s="602"/>
      <c r="H783" s="602"/>
      <c r="I783" s="602"/>
      <c r="J783" s="602"/>
      <c r="K783" s="602"/>
      <c r="L783" s="602"/>
      <c r="M783" s="602"/>
      <c r="N783" s="602"/>
      <c r="O783" s="602"/>
      <c r="P783" s="602"/>
      <c r="Q783" s="602"/>
      <c r="R783" s="602"/>
    </row>
    <row r="784" spans="1:18" ht="15.75" customHeight="1">
      <c r="A784" s="602"/>
      <c r="B784" s="602"/>
      <c r="C784" s="602"/>
      <c r="D784" s="602"/>
      <c r="E784" s="602"/>
      <c r="F784" s="602"/>
      <c r="G784" s="602"/>
      <c r="H784" s="602"/>
      <c r="I784" s="602"/>
      <c r="J784" s="602"/>
      <c r="K784" s="602"/>
      <c r="L784" s="602"/>
      <c r="M784" s="602"/>
      <c r="N784" s="602"/>
      <c r="O784" s="602"/>
      <c r="P784" s="602"/>
      <c r="Q784" s="602"/>
      <c r="R784" s="602"/>
    </row>
    <row r="785" spans="1:18" ht="15.75" customHeight="1">
      <c r="A785" s="602"/>
      <c r="B785" s="602"/>
      <c r="C785" s="602"/>
      <c r="D785" s="602"/>
      <c r="E785" s="602"/>
      <c r="F785" s="602"/>
      <c r="G785" s="602"/>
      <c r="H785" s="602"/>
      <c r="I785" s="602"/>
      <c r="J785" s="602"/>
      <c r="K785" s="602"/>
      <c r="L785" s="602"/>
      <c r="M785" s="602"/>
      <c r="N785" s="602"/>
      <c r="O785" s="602"/>
      <c r="P785" s="602"/>
      <c r="Q785" s="602"/>
      <c r="R785" s="602"/>
    </row>
    <row r="786" spans="1:18" ht="15.75" customHeight="1">
      <c r="A786" s="602"/>
      <c r="B786" s="602"/>
      <c r="C786" s="602"/>
      <c r="D786" s="602"/>
      <c r="E786" s="602"/>
      <c r="F786" s="602"/>
      <c r="G786" s="602"/>
      <c r="H786" s="602"/>
      <c r="I786" s="602"/>
      <c r="J786" s="602"/>
      <c r="K786" s="602"/>
      <c r="L786" s="602"/>
      <c r="M786" s="602"/>
      <c r="N786" s="602"/>
      <c r="O786" s="602"/>
      <c r="P786" s="602"/>
      <c r="Q786" s="602"/>
      <c r="R786" s="602"/>
    </row>
    <row r="787" spans="1:18" ht="15.75" customHeight="1">
      <c r="A787" s="602"/>
      <c r="B787" s="602"/>
      <c r="C787" s="602"/>
      <c r="D787" s="602"/>
      <c r="E787" s="602"/>
      <c r="F787" s="602"/>
      <c r="G787" s="602"/>
      <c r="H787" s="602"/>
      <c r="I787" s="602"/>
      <c r="J787" s="602"/>
      <c r="K787" s="602"/>
      <c r="L787" s="602"/>
      <c r="M787" s="602"/>
      <c r="N787" s="602"/>
      <c r="O787" s="602"/>
      <c r="P787" s="602"/>
      <c r="Q787" s="602"/>
      <c r="R787" s="602"/>
    </row>
    <row r="788" spans="1:18" ht="15.75" customHeight="1">
      <c r="A788" s="602"/>
      <c r="B788" s="602"/>
      <c r="C788" s="602"/>
      <c r="D788" s="602"/>
      <c r="E788" s="602"/>
      <c r="F788" s="602"/>
      <c r="G788" s="602"/>
      <c r="H788" s="602"/>
      <c r="I788" s="602"/>
      <c r="J788" s="602"/>
      <c r="K788" s="602"/>
      <c r="L788" s="602"/>
      <c r="M788" s="602"/>
      <c r="N788" s="602"/>
      <c r="O788" s="602"/>
      <c r="P788" s="602"/>
      <c r="Q788" s="602"/>
      <c r="R788" s="602"/>
    </row>
    <row r="789" spans="1:18" ht="15.75" customHeight="1">
      <c r="A789" s="602"/>
      <c r="B789" s="602"/>
      <c r="C789" s="602"/>
      <c r="D789" s="602"/>
      <c r="E789" s="602"/>
      <c r="F789" s="602"/>
      <c r="G789" s="602"/>
      <c r="H789" s="602"/>
      <c r="I789" s="602"/>
      <c r="J789" s="602"/>
      <c r="K789" s="602"/>
      <c r="L789" s="602"/>
      <c r="M789" s="602"/>
      <c r="N789" s="602"/>
      <c r="O789" s="602"/>
      <c r="P789" s="602"/>
      <c r="Q789" s="602"/>
      <c r="R789" s="602"/>
    </row>
    <row r="790" spans="1:18" ht="15.75" customHeight="1">
      <c r="A790" s="602"/>
      <c r="B790" s="602"/>
      <c r="C790" s="602"/>
      <c r="D790" s="602"/>
      <c r="E790" s="602"/>
      <c r="F790" s="602"/>
      <c r="G790" s="602"/>
      <c r="H790" s="602"/>
      <c r="I790" s="602"/>
      <c r="J790" s="602"/>
      <c r="K790" s="602"/>
      <c r="L790" s="602"/>
      <c r="M790" s="602"/>
      <c r="N790" s="602"/>
      <c r="O790" s="602"/>
      <c r="P790" s="602"/>
      <c r="Q790" s="602"/>
      <c r="R790" s="602"/>
    </row>
    <row r="791" spans="1:18" ht="15.75" customHeight="1">
      <c r="A791" s="602"/>
      <c r="B791" s="602"/>
      <c r="C791" s="602"/>
      <c r="D791" s="602"/>
      <c r="E791" s="602"/>
      <c r="F791" s="602"/>
      <c r="G791" s="602"/>
      <c r="H791" s="602"/>
      <c r="I791" s="602"/>
      <c r="J791" s="602"/>
      <c r="K791" s="602"/>
      <c r="L791" s="602"/>
      <c r="M791" s="602"/>
      <c r="N791" s="602"/>
      <c r="O791" s="602"/>
      <c r="P791" s="602"/>
      <c r="Q791" s="602"/>
      <c r="R791" s="602"/>
    </row>
    <row r="792" spans="1:18" ht="15.75" customHeight="1">
      <c r="A792" s="602"/>
      <c r="B792" s="602"/>
      <c r="C792" s="602"/>
      <c r="D792" s="602"/>
      <c r="E792" s="602"/>
      <c r="F792" s="602"/>
      <c r="G792" s="602"/>
      <c r="H792" s="602"/>
      <c r="I792" s="602"/>
      <c r="J792" s="602"/>
      <c r="K792" s="602"/>
      <c r="L792" s="602"/>
      <c r="M792" s="602"/>
      <c r="N792" s="602"/>
      <c r="O792" s="602"/>
      <c r="P792" s="602"/>
      <c r="Q792" s="602"/>
      <c r="R792" s="602"/>
    </row>
    <row r="793" spans="1:18" ht="15.75" customHeight="1">
      <c r="A793" s="602"/>
      <c r="B793" s="602"/>
      <c r="C793" s="602"/>
      <c r="D793" s="602"/>
      <c r="E793" s="602"/>
      <c r="F793" s="602"/>
      <c r="G793" s="602"/>
      <c r="H793" s="602"/>
      <c r="I793" s="602"/>
      <c r="J793" s="602"/>
      <c r="K793" s="602"/>
      <c r="L793" s="602"/>
      <c r="M793" s="602"/>
      <c r="N793" s="602"/>
      <c r="O793" s="602"/>
      <c r="P793" s="602"/>
      <c r="Q793" s="602"/>
      <c r="R793" s="602"/>
    </row>
    <row r="794" spans="1:18" ht="15.75" customHeight="1">
      <c r="A794" s="602"/>
      <c r="B794" s="602"/>
      <c r="C794" s="602"/>
      <c r="D794" s="602"/>
      <c r="E794" s="602"/>
      <c r="F794" s="602"/>
      <c r="G794" s="602"/>
      <c r="H794" s="602"/>
      <c r="I794" s="602"/>
      <c r="J794" s="602"/>
      <c r="K794" s="602"/>
      <c r="L794" s="602"/>
      <c r="M794" s="602"/>
      <c r="N794" s="602"/>
      <c r="O794" s="602"/>
      <c r="P794" s="602"/>
      <c r="Q794" s="602"/>
      <c r="R794" s="602"/>
    </row>
    <row r="795" spans="1:18" ht="15.75" customHeight="1">
      <c r="A795" s="602"/>
      <c r="B795" s="602"/>
      <c r="C795" s="602"/>
      <c r="D795" s="602"/>
      <c r="E795" s="602"/>
      <c r="F795" s="602"/>
      <c r="G795" s="602"/>
      <c r="H795" s="602"/>
      <c r="I795" s="602"/>
      <c r="J795" s="602"/>
      <c r="K795" s="602"/>
      <c r="L795" s="602"/>
      <c r="M795" s="602"/>
      <c r="N795" s="602"/>
      <c r="O795" s="602"/>
      <c r="P795" s="602"/>
      <c r="Q795" s="602"/>
      <c r="R795" s="602"/>
    </row>
    <row r="796" spans="1:18" ht="15.75" customHeight="1">
      <c r="A796" s="602"/>
      <c r="B796" s="602"/>
      <c r="C796" s="602"/>
      <c r="D796" s="602"/>
      <c r="E796" s="602"/>
      <c r="F796" s="602"/>
      <c r="G796" s="602"/>
      <c r="H796" s="602"/>
      <c r="I796" s="602"/>
      <c r="J796" s="602"/>
      <c r="K796" s="602"/>
      <c r="L796" s="602"/>
      <c r="M796" s="602"/>
      <c r="N796" s="602"/>
      <c r="O796" s="602"/>
      <c r="P796" s="602"/>
      <c r="Q796" s="602"/>
      <c r="R796" s="602"/>
    </row>
    <row r="797" spans="1:18" ht="15.75" customHeight="1">
      <c r="A797" s="602"/>
      <c r="B797" s="602"/>
      <c r="C797" s="602"/>
      <c r="D797" s="602"/>
      <c r="E797" s="602"/>
      <c r="F797" s="602"/>
      <c r="G797" s="602"/>
      <c r="H797" s="602"/>
      <c r="I797" s="602"/>
      <c r="J797" s="602"/>
      <c r="K797" s="602"/>
      <c r="L797" s="602"/>
      <c r="M797" s="602"/>
      <c r="N797" s="602"/>
      <c r="O797" s="602"/>
      <c r="P797" s="602"/>
      <c r="Q797" s="602"/>
      <c r="R797" s="602"/>
    </row>
    <row r="798" spans="1:18" ht="15.75" customHeight="1">
      <c r="A798" s="602"/>
      <c r="B798" s="602"/>
      <c r="C798" s="602"/>
      <c r="D798" s="602"/>
      <c r="E798" s="602"/>
      <c r="F798" s="602"/>
      <c r="G798" s="602"/>
      <c r="H798" s="602"/>
      <c r="I798" s="602"/>
      <c r="J798" s="602"/>
      <c r="K798" s="602"/>
      <c r="L798" s="602"/>
      <c r="M798" s="602"/>
      <c r="N798" s="602"/>
      <c r="O798" s="602"/>
      <c r="P798" s="602"/>
      <c r="Q798" s="602"/>
      <c r="R798" s="602"/>
    </row>
    <row r="799" spans="1:18" ht="15.75" customHeight="1">
      <c r="A799" s="602"/>
      <c r="B799" s="602"/>
      <c r="C799" s="602"/>
      <c r="D799" s="602"/>
      <c r="E799" s="602"/>
      <c r="F799" s="602"/>
      <c r="G799" s="602"/>
      <c r="H799" s="602"/>
      <c r="I799" s="602"/>
      <c r="J799" s="602"/>
      <c r="K799" s="602"/>
      <c r="L799" s="602"/>
      <c r="M799" s="602"/>
      <c r="N799" s="602"/>
      <c r="O799" s="602"/>
      <c r="P799" s="602"/>
      <c r="Q799" s="602"/>
      <c r="R799" s="602"/>
    </row>
    <row r="800" spans="1:18" ht="15.75" customHeight="1">
      <c r="A800" s="602"/>
      <c r="B800" s="602"/>
      <c r="C800" s="602"/>
      <c r="D800" s="602"/>
      <c r="E800" s="602"/>
      <c r="F800" s="602"/>
      <c r="G800" s="602"/>
      <c r="H800" s="602"/>
      <c r="I800" s="602"/>
      <c r="J800" s="602"/>
      <c r="K800" s="602"/>
      <c r="L800" s="602"/>
      <c r="M800" s="602"/>
      <c r="N800" s="602"/>
      <c r="O800" s="602"/>
      <c r="P800" s="602"/>
      <c r="Q800" s="602"/>
      <c r="R800" s="602"/>
    </row>
    <row r="801" spans="1:18" ht="15.75" customHeight="1">
      <c r="A801" s="602"/>
      <c r="B801" s="602"/>
      <c r="C801" s="602"/>
      <c r="D801" s="602"/>
      <c r="E801" s="602"/>
      <c r="F801" s="602"/>
      <c r="G801" s="602"/>
      <c r="H801" s="602"/>
      <c r="I801" s="602"/>
      <c r="J801" s="602"/>
      <c r="K801" s="602"/>
      <c r="L801" s="602"/>
      <c r="M801" s="602"/>
      <c r="N801" s="602"/>
      <c r="O801" s="602"/>
      <c r="P801" s="602"/>
      <c r="Q801" s="602"/>
      <c r="R801" s="602"/>
    </row>
    <row r="802" spans="1:18" ht="15.75" customHeight="1">
      <c r="A802" s="602"/>
      <c r="B802" s="602"/>
      <c r="C802" s="602"/>
      <c r="D802" s="602"/>
      <c r="E802" s="602"/>
      <c r="F802" s="602"/>
      <c r="G802" s="602"/>
      <c r="H802" s="602"/>
      <c r="I802" s="602"/>
      <c r="J802" s="602"/>
      <c r="K802" s="602"/>
      <c r="L802" s="602"/>
      <c r="M802" s="602"/>
      <c r="N802" s="602"/>
      <c r="O802" s="602"/>
      <c r="P802" s="602"/>
      <c r="Q802" s="602"/>
      <c r="R802" s="602"/>
    </row>
    <row r="803" spans="1:18" ht="15.75" customHeight="1">
      <c r="A803" s="602"/>
      <c r="B803" s="602"/>
      <c r="C803" s="602"/>
      <c r="D803" s="602"/>
      <c r="E803" s="602"/>
      <c r="F803" s="602"/>
      <c r="G803" s="602"/>
      <c r="H803" s="602"/>
      <c r="I803" s="602"/>
      <c r="J803" s="602"/>
      <c r="K803" s="602"/>
      <c r="L803" s="602"/>
      <c r="M803" s="602"/>
      <c r="N803" s="602"/>
      <c r="O803" s="602"/>
      <c r="P803" s="602"/>
      <c r="Q803" s="602"/>
      <c r="R803" s="602"/>
    </row>
    <row r="804" spans="1:18" ht="15.75" customHeight="1">
      <c r="A804" s="602"/>
      <c r="B804" s="602"/>
      <c r="C804" s="602"/>
      <c r="D804" s="602"/>
      <c r="E804" s="602"/>
      <c r="F804" s="602"/>
      <c r="G804" s="602"/>
      <c r="H804" s="602"/>
      <c r="I804" s="602"/>
      <c r="J804" s="602"/>
      <c r="K804" s="602"/>
      <c r="L804" s="602"/>
      <c r="M804" s="602"/>
      <c r="N804" s="602"/>
      <c r="O804" s="602"/>
      <c r="P804" s="602"/>
      <c r="Q804" s="602"/>
      <c r="R804" s="602"/>
    </row>
    <row r="805" spans="1:18" ht="15.75" customHeight="1">
      <c r="A805" s="602"/>
      <c r="B805" s="602"/>
      <c r="C805" s="602"/>
      <c r="D805" s="602"/>
      <c r="E805" s="602"/>
      <c r="F805" s="602"/>
      <c r="G805" s="602"/>
      <c r="H805" s="602"/>
      <c r="I805" s="602"/>
      <c r="J805" s="602"/>
      <c r="K805" s="602"/>
      <c r="L805" s="602"/>
      <c r="M805" s="602"/>
      <c r="N805" s="602"/>
      <c r="O805" s="602"/>
      <c r="P805" s="602"/>
      <c r="Q805" s="602"/>
      <c r="R805" s="602"/>
    </row>
    <row r="806" spans="1:18" ht="15.75" customHeight="1">
      <c r="A806" s="602"/>
      <c r="B806" s="602"/>
      <c r="C806" s="602"/>
      <c r="D806" s="602"/>
      <c r="E806" s="602"/>
      <c r="F806" s="602"/>
      <c r="G806" s="602"/>
      <c r="H806" s="602"/>
      <c r="I806" s="602"/>
      <c r="J806" s="602"/>
      <c r="K806" s="602"/>
      <c r="L806" s="602"/>
      <c r="M806" s="602"/>
      <c r="N806" s="602"/>
      <c r="O806" s="602"/>
      <c r="P806" s="602"/>
      <c r="Q806" s="602"/>
      <c r="R806" s="602"/>
    </row>
    <row r="807" spans="1:18" ht="15.75" customHeight="1">
      <c r="A807" s="602"/>
      <c r="B807" s="602"/>
      <c r="C807" s="602"/>
      <c r="D807" s="602"/>
      <c r="E807" s="602"/>
      <c r="F807" s="602"/>
      <c r="G807" s="602"/>
      <c r="H807" s="602"/>
      <c r="I807" s="602"/>
      <c r="J807" s="602"/>
      <c r="K807" s="602"/>
      <c r="L807" s="602"/>
      <c r="M807" s="602"/>
      <c r="N807" s="602"/>
      <c r="O807" s="602"/>
      <c r="P807" s="602"/>
      <c r="Q807" s="602"/>
      <c r="R807" s="602"/>
    </row>
    <row r="808" spans="1:18" ht="15.75" customHeight="1">
      <c r="A808" s="602"/>
      <c r="B808" s="602"/>
      <c r="C808" s="602"/>
      <c r="D808" s="602"/>
      <c r="E808" s="602"/>
      <c r="F808" s="602"/>
      <c r="G808" s="602"/>
      <c r="H808" s="602"/>
      <c r="I808" s="602"/>
      <c r="J808" s="602"/>
      <c r="K808" s="602"/>
      <c r="L808" s="602"/>
      <c r="M808" s="602"/>
      <c r="N808" s="602"/>
      <c r="O808" s="602"/>
      <c r="P808" s="602"/>
      <c r="Q808" s="602"/>
      <c r="R808" s="602"/>
    </row>
    <row r="809" spans="1:18" ht="15.75" customHeight="1">
      <c r="A809" s="602"/>
      <c r="B809" s="602"/>
      <c r="C809" s="602"/>
      <c r="D809" s="602"/>
      <c r="E809" s="602"/>
      <c r="F809" s="602"/>
      <c r="G809" s="602"/>
      <c r="H809" s="602"/>
      <c r="I809" s="602"/>
      <c r="J809" s="602"/>
      <c r="K809" s="602"/>
      <c r="L809" s="602"/>
      <c r="M809" s="602"/>
      <c r="N809" s="602"/>
      <c r="O809" s="602"/>
      <c r="P809" s="602"/>
      <c r="Q809" s="602"/>
      <c r="R809" s="602"/>
    </row>
    <row r="810" spans="1:18" ht="15.75" customHeight="1">
      <c r="A810" s="602"/>
      <c r="B810" s="602"/>
      <c r="C810" s="602"/>
      <c r="D810" s="602"/>
      <c r="E810" s="602"/>
      <c r="F810" s="602"/>
      <c r="G810" s="602"/>
      <c r="H810" s="602"/>
      <c r="I810" s="602"/>
      <c r="J810" s="602"/>
      <c r="K810" s="602"/>
      <c r="L810" s="602"/>
      <c r="M810" s="602"/>
      <c r="N810" s="602"/>
      <c r="O810" s="602"/>
      <c r="P810" s="602"/>
      <c r="Q810" s="602"/>
      <c r="R810" s="602"/>
    </row>
    <row r="811" spans="1:18" ht="15.75" customHeight="1">
      <c r="A811" s="602"/>
      <c r="B811" s="602"/>
      <c r="C811" s="602"/>
      <c r="D811" s="602"/>
      <c r="E811" s="602"/>
      <c r="F811" s="602"/>
      <c r="G811" s="602"/>
      <c r="H811" s="602"/>
      <c r="I811" s="602"/>
      <c r="J811" s="602"/>
      <c r="K811" s="602"/>
      <c r="L811" s="602"/>
      <c r="M811" s="602"/>
      <c r="N811" s="602"/>
      <c r="O811" s="602"/>
      <c r="P811" s="602"/>
      <c r="Q811" s="602"/>
      <c r="R811" s="602"/>
    </row>
    <row r="812" spans="1:18" ht="15.75" customHeight="1">
      <c r="A812" s="602"/>
      <c r="B812" s="602"/>
      <c r="C812" s="602"/>
      <c r="D812" s="602"/>
      <c r="E812" s="602"/>
      <c r="F812" s="602"/>
      <c r="G812" s="602"/>
      <c r="H812" s="602"/>
      <c r="I812" s="602"/>
      <c r="J812" s="602"/>
      <c r="K812" s="602"/>
      <c r="L812" s="602"/>
      <c r="M812" s="602"/>
      <c r="N812" s="602"/>
      <c r="O812" s="602"/>
      <c r="P812" s="602"/>
      <c r="Q812" s="602"/>
      <c r="R812" s="602"/>
    </row>
    <row r="813" spans="1:18" ht="15.75" customHeight="1">
      <c r="A813" s="602"/>
      <c r="B813" s="602"/>
      <c r="C813" s="602"/>
      <c r="D813" s="602"/>
      <c r="E813" s="602"/>
      <c r="F813" s="602"/>
      <c r="G813" s="602"/>
      <c r="H813" s="602"/>
      <c r="I813" s="602"/>
      <c r="J813" s="602"/>
      <c r="K813" s="602"/>
      <c r="L813" s="602"/>
      <c r="M813" s="602"/>
      <c r="N813" s="602"/>
      <c r="O813" s="602"/>
      <c r="P813" s="602"/>
      <c r="Q813" s="602"/>
      <c r="R813" s="602"/>
    </row>
    <row r="814" spans="1:18" ht="15.75" customHeight="1">
      <c r="A814" s="602"/>
      <c r="B814" s="602"/>
      <c r="C814" s="602"/>
      <c r="D814" s="602"/>
      <c r="E814" s="602"/>
      <c r="F814" s="602"/>
      <c r="G814" s="602"/>
      <c r="H814" s="602"/>
      <c r="I814" s="602"/>
      <c r="J814" s="602"/>
      <c r="K814" s="602"/>
      <c r="L814" s="602"/>
      <c r="M814" s="602"/>
      <c r="N814" s="602"/>
      <c r="O814" s="602"/>
      <c r="P814" s="602"/>
      <c r="Q814" s="602"/>
      <c r="R814" s="602"/>
    </row>
    <row r="815" spans="1:18" ht="15.75" customHeight="1">
      <c r="A815" s="602"/>
      <c r="B815" s="602"/>
      <c r="C815" s="602"/>
      <c r="D815" s="602"/>
      <c r="E815" s="602"/>
      <c r="F815" s="602"/>
      <c r="G815" s="602"/>
      <c r="H815" s="602"/>
      <c r="I815" s="602"/>
      <c r="J815" s="602"/>
      <c r="K815" s="602"/>
      <c r="L815" s="602"/>
      <c r="M815" s="602"/>
      <c r="N815" s="602"/>
      <c r="O815" s="602"/>
      <c r="P815" s="602"/>
      <c r="Q815" s="602"/>
      <c r="R815" s="602"/>
    </row>
    <row r="816" spans="1:18" ht="15.75" customHeight="1">
      <c r="A816" s="602"/>
      <c r="B816" s="602"/>
      <c r="C816" s="602"/>
      <c r="D816" s="602"/>
      <c r="E816" s="602"/>
      <c r="F816" s="602"/>
      <c r="G816" s="602"/>
      <c r="H816" s="602"/>
      <c r="I816" s="602"/>
      <c r="J816" s="602"/>
      <c r="K816" s="602"/>
      <c r="L816" s="602"/>
      <c r="M816" s="602"/>
      <c r="N816" s="602"/>
      <c r="O816" s="602"/>
      <c r="P816" s="602"/>
      <c r="Q816" s="602"/>
      <c r="R816" s="602"/>
    </row>
    <row r="817" spans="1:18" ht="15.75" customHeight="1">
      <c r="A817" s="602"/>
      <c r="B817" s="602"/>
      <c r="C817" s="602"/>
      <c r="D817" s="602"/>
      <c r="E817" s="602"/>
      <c r="F817" s="602"/>
      <c r="G817" s="602"/>
      <c r="H817" s="602"/>
      <c r="I817" s="602"/>
      <c r="J817" s="602"/>
      <c r="K817" s="602"/>
      <c r="L817" s="602"/>
      <c r="M817" s="602"/>
      <c r="N817" s="602"/>
      <c r="O817" s="602"/>
      <c r="P817" s="602"/>
      <c r="Q817" s="602"/>
      <c r="R817" s="602"/>
    </row>
    <row r="818" spans="1:18" ht="15.75" customHeight="1">
      <c r="A818" s="602"/>
      <c r="B818" s="602"/>
      <c r="C818" s="602"/>
      <c r="D818" s="602"/>
      <c r="E818" s="602"/>
      <c r="F818" s="602"/>
      <c r="G818" s="602"/>
      <c r="H818" s="602"/>
      <c r="I818" s="602"/>
      <c r="J818" s="602"/>
      <c r="K818" s="602"/>
      <c r="L818" s="602"/>
      <c r="M818" s="602"/>
      <c r="N818" s="602"/>
      <c r="O818" s="602"/>
      <c r="P818" s="602"/>
      <c r="Q818" s="602"/>
      <c r="R818" s="602"/>
    </row>
    <row r="819" spans="1:18" ht="15.75" customHeight="1">
      <c r="A819" s="602"/>
      <c r="B819" s="602"/>
      <c r="C819" s="602"/>
      <c r="D819" s="602"/>
      <c r="E819" s="602"/>
      <c r="F819" s="602"/>
      <c r="G819" s="602"/>
      <c r="H819" s="602"/>
      <c r="I819" s="602"/>
      <c r="J819" s="602"/>
      <c r="K819" s="602"/>
      <c r="L819" s="602"/>
      <c r="M819" s="602"/>
      <c r="N819" s="602"/>
      <c r="O819" s="602"/>
      <c r="P819" s="602"/>
      <c r="Q819" s="602"/>
      <c r="R819" s="602"/>
    </row>
    <row r="820" spans="1:18" ht="15.75" customHeight="1">
      <c r="A820" s="602"/>
      <c r="B820" s="602"/>
      <c r="C820" s="602"/>
      <c r="D820" s="602"/>
      <c r="E820" s="602"/>
      <c r="F820" s="602"/>
      <c r="G820" s="602"/>
      <c r="H820" s="602"/>
      <c r="I820" s="602"/>
      <c r="J820" s="602"/>
      <c r="K820" s="602"/>
      <c r="L820" s="602"/>
      <c r="M820" s="602"/>
      <c r="N820" s="602"/>
      <c r="O820" s="602"/>
      <c r="P820" s="602"/>
      <c r="Q820" s="602"/>
      <c r="R820" s="602"/>
    </row>
    <row r="821" spans="1:18" ht="15.75" customHeight="1">
      <c r="A821" s="602"/>
      <c r="B821" s="602"/>
      <c r="C821" s="602"/>
      <c r="D821" s="602"/>
      <c r="E821" s="602"/>
      <c r="F821" s="602"/>
      <c r="G821" s="602"/>
      <c r="H821" s="602"/>
      <c r="I821" s="602"/>
      <c r="J821" s="602"/>
      <c r="K821" s="602"/>
      <c r="L821" s="602"/>
      <c r="M821" s="602"/>
      <c r="N821" s="602"/>
      <c r="O821" s="602"/>
      <c r="P821" s="602"/>
      <c r="Q821" s="602"/>
      <c r="R821" s="602"/>
    </row>
    <row r="822" spans="1:18" ht="15.75" customHeight="1">
      <c r="A822" s="602"/>
      <c r="B822" s="602"/>
      <c r="C822" s="602"/>
      <c r="D822" s="602"/>
      <c r="E822" s="602"/>
      <c r="F822" s="602"/>
      <c r="G822" s="602"/>
      <c r="H822" s="602"/>
      <c r="I822" s="602"/>
      <c r="J822" s="602"/>
      <c r="K822" s="602"/>
      <c r="L822" s="602"/>
      <c r="M822" s="602"/>
      <c r="N822" s="602"/>
      <c r="O822" s="602"/>
      <c r="P822" s="602"/>
      <c r="Q822" s="602"/>
      <c r="R822" s="602"/>
    </row>
    <row r="823" spans="1:18" ht="15.75" customHeight="1">
      <c r="A823" s="602"/>
      <c r="B823" s="602"/>
      <c r="C823" s="602"/>
      <c r="D823" s="602"/>
      <c r="E823" s="602"/>
      <c r="F823" s="602"/>
      <c r="G823" s="602"/>
      <c r="H823" s="602"/>
      <c r="I823" s="602"/>
      <c r="J823" s="602"/>
      <c r="K823" s="602"/>
      <c r="L823" s="602"/>
      <c r="M823" s="602"/>
      <c r="N823" s="602"/>
      <c r="O823" s="602"/>
      <c r="P823" s="602"/>
      <c r="Q823" s="602"/>
      <c r="R823" s="602"/>
    </row>
    <row r="824" spans="1:18" ht="15.75" customHeight="1">
      <c r="A824" s="602"/>
      <c r="B824" s="602"/>
      <c r="C824" s="602"/>
      <c r="D824" s="602"/>
      <c r="E824" s="602"/>
      <c r="F824" s="602"/>
      <c r="G824" s="602"/>
      <c r="H824" s="602"/>
      <c r="I824" s="602"/>
      <c r="J824" s="602"/>
      <c r="K824" s="602"/>
      <c r="L824" s="602"/>
      <c r="M824" s="602"/>
      <c r="N824" s="602"/>
      <c r="O824" s="602"/>
      <c r="P824" s="602"/>
      <c r="Q824" s="602"/>
      <c r="R824" s="602"/>
    </row>
    <row r="825" spans="1:18" ht="15.75" customHeight="1">
      <c r="A825" s="602"/>
      <c r="B825" s="602"/>
      <c r="C825" s="602"/>
      <c r="D825" s="602"/>
      <c r="E825" s="602"/>
      <c r="F825" s="602"/>
      <c r="G825" s="602"/>
      <c r="H825" s="602"/>
      <c r="I825" s="602"/>
      <c r="J825" s="602"/>
      <c r="K825" s="602"/>
      <c r="L825" s="602"/>
      <c r="M825" s="602"/>
      <c r="N825" s="602"/>
      <c r="O825" s="602"/>
      <c r="P825" s="602"/>
      <c r="Q825" s="602"/>
      <c r="R825" s="602"/>
    </row>
    <row r="826" spans="1:18" ht="15.75" customHeight="1">
      <c r="A826" s="602"/>
      <c r="B826" s="602"/>
      <c r="C826" s="602"/>
      <c r="D826" s="602"/>
      <c r="E826" s="602"/>
      <c r="F826" s="602"/>
      <c r="G826" s="602"/>
      <c r="H826" s="602"/>
      <c r="I826" s="602"/>
      <c r="J826" s="602"/>
      <c r="K826" s="602"/>
      <c r="L826" s="602"/>
      <c r="M826" s="602"/>
      <c r="N826" s="602"/>
      <c r="O826" s="602"/>
      <c r="P826" s="602"/>
      <c r="Q826" s="602"/>
      <c r="R826" s="602"/>
    </row>
    <row r="827" spans="1:18" ht="15.75" customHeight="1">
      <c r="A827" s="602"/>
      <c r="B827" s="602"/>
      <c r="C827" s="602"/>
      <c r="D827" s="602"/>
      <c r="E827" s="602"/>
      <c r="F827" s="602"/>
      <c r="G827" s="602"/>
      <c r="H827" s="602"/>
      <c r="I827" s="602"/>
      <c r="J827" s="602"/>
      <c r="K827" s="602"/>
      <c r="L827" s="602"/>
      <c r="M827" s="602"/>
      <c r="N827" s="602"/>
      <c r="O827" s="602"/>
      <c r="P827" s="602"/>
      <c r="Q827" s="602"/>
      <c r="R827" s="602"/>
    </row>
    <row r="828" spans="1:18" ht="15.75" customHeight="1">
      <c r="A828" s="602"/>
      <c r="B828" s="602"/>
      <c r="C828" s="602"/>
      <c r="D828" s="602"/>
      <c r="E828" s="602"/>
      <c r="F828" s="602"/>
      <c r="G828" s="602"/>
      <c r="H828" s="602"/>
      <c r="I828" s="602"/>
      <c r="J828" s="602"/>
      <c r="K828" s="602"/>
      <c r="L828" s="602"/>
      <c r="M828" s="602"/>
      <c r="N828" s="602"/>
      <c r="O828" s="602"/>
      <c r="P828" s="602"/>
      <c r="Q828" s="602"/>
      <c r="R828" s="602"/>
    </row>
    <row r="829" spans="1:18" ht="15.75" customHeight="1">
      <c r="A829" s="602"/>
      <c r="B829" s="602"/>
      <c r="C829" s="602"/>
      <c r="D829" s="602"/>
      <c r="E829" s="602"/>
      <c r="F829" s="602"/>
      <c r="G829" s="602"/>
      <c r="H829" s="602"/>
      <c r="I829" s="602"/>
      <c r="J829" s="602"/>
      <c r="K829" s="602"/>
      <c r="L829" s="602"/>
      <c r="M829" s="602"/>
      <c r="N829" s="602"/>
      <c r="O829" s="602"/>
      <c r="P829" s="602"/>
      <c r="Q829" s="602"/>
      <c r="R829" s="602"/>
    </row>
    <row r="830" spans="1:18" ht="15.75" customHeight="1">
      <c r="A830" s="602"/>
      <c r="B830" s="602"/>
      <c r="C830" s="602"/>
      <c r="D830" s="602"/>
      <c r="E830" s="602"/>
      <c r="F830" s="602"/>
      <c r="G830" s="602"/>
      <c r="H830" s="602"/>
      <c r="I830" s="602"/>
      <c r="J830" s="602"/>
      <c r="K830" s="602"/>
      <c r="L830" s="602"/>
      <c r="M830" s="602"/>
      <c r="N830" s="602"/>
      <c r="O830" s="602"/>
      <c r="P830" s="602"/>
      <c r="Q830" s="602"/>
      <c r="R830" s="602"/>
    </row>
    <row r="831" spans="1:18" ht="15.75" customHeight="1">
      <c r="A831" s="602"/>
      <c r="B831" s="602"/>
      <c r="C831" s="602"/>
      <c r="D831" s="602"/>
      <c r="E831" s="602"/>
      <c r="F831" s="602"/>
      <c r="G831" s="602"/>
      <c r="H831" s="602"/>
      <c r="I831" s="602"/>
      <c r="J831" s="602"/>
      <c r="K831" s="602"/>
      <c r="L831" s="602"/>
      <c r="M831" s="602"/>
      <c r="N831" s="602"/>
      <c r="O831" s="602"/>
      <c r="P831" s="602"/>
      <c r="Q831" s="602"/>
      <c r="R831" s="602"/>
    </row>
    <row r="832" spans="1:18" ht="15.75" customHeight="1">
      <c r="A832" s="602"/>
      <c r="B832" s="602"/>
      <c r="C832" s="602"/>
      <c r="D832" s="602"/>
      <c r="E832" s="602"/>
      <c r="F832" s="602"/>
      <c r="G832" s="602"/>
      <c r="H832" s="602"/>
      <c r="I832" s="602"/>
      <c r="J832" s="602"/>
      <c r="K832" s="602"/>
      <c r="L832" s="602"/>
      <c r="M832" s="602"/>
      <c r="N832" s="602"/>
      <c r="O832" s="602"/>
      <c r="P832" s="602"/>
      <c r="Q832" s="602"/>
      <c r="R832" s="602"/>
    </row>
    <row r="833" spans="1:18" ht="15.75" customHeight="1">
      <c r="A833" s="602"/>
      <c r="B833" s="602"/>
      <c r="C833" s="602"/>
      <c r="D833" s="602"/>
      <c r="E833" s="602"/>
      <c r="F833" s="602"/>
      <c r="G833" s="602"/>
      <c r="H833" s="602"/>
      <c r="I833" s="602"/>
      <c r="J833" s="602"/>
      <c r="K833" s="602"/>
      <c r="L833" s="602"/>
      <c r="M833" s="602"/>
      <c r="N833" s="602"/>
      <c r="O833" s="602"/>
      <c r="P833" s="602"/>
      <c r="Q833" s="602"/>
      <c r="R833" s="602"/>
    </row>
    <row r="834" spans="1:18" ht="15.75" customHeight="1">
      <c r="A834" s="602"/>
      <c r="B834" s="602"/>
      <c r="C834" s="602"/>
      <c r="D834" s="602"/>
      <c r="E834" s="602"/>
      <c r="F834" s="602"/>
      <c r="G834" s="602"/>
      <c r="H834" s="602"/>
      <c r="I834" s="602"/>
      <c r="J834" s="602"/>
      <c r="K834" s="602"/>
      <c r="L834" s="602"/>
      <c r="M834" s="602"/>
      <c r="N834" s="602"/>
      <c r="O834" s="602"/>
      <c r="P834" s="602"/>
      <c r="Q834" s="602"/>
      <c r="R834" s="602"/>
    </row>
    <row r="835" spans="1:18" ht="15.75" customHeight="1">
      <c r="A835" s="602"/>
      <c r="B835" s="602"/>
      <c r="C835" s="602"/>
      <c r="D835" s="602"/>
      <c r="E835" s="602"/>
      <c r="F835" s="602"/>
      <c r="G835" s="602"/>
      <c r="H835" s="602"/>
      <c r="I835" s="602"/>
      <c r="J835" s="602"/>
      <c r="K835" s="602"/>
      <c r="L835" s="602"/>
      <c r="M835" s="602"/>
      <c r="N835" s="602"/>
      <c r="O835" s="602"/>
      <c r="P835" s="602"/>
      <c r="Q835" s="602"/>
      <c r="R835" s="602"/>
    </row>
    <row r="836" spans="1:18" ht="15.75" customHeight="1">
      <c r="A836" s="602"/>
      <c r="B836" s="602"/>
      <c r="C836" s="602"/>
      <c r="D836" s="602"/>
      <c r="E836" s="602"/>
      <c r="F836" s="602"/>
      <c r="G836" s="602"/>
      <c r="H836" s="602"/>
      <c r="I836" s="602"/>
      <c r="J836" s="602"/>
      <c r="K836" s="602"/>
      <c r="L836" s="602"/>
      <c r="M836" s="602"/>
      <c r="N836" s="602"/>
      <c r="O836" s="602"/>
      <c r="P836" s="602"/>
      <c r="Q836" s="602"/>
      <c r="R836" s="602"/>
    </row>
    <row r="837" spans="1:18" ht="15.75" customHeight="1">
      <c r="A837" s="602"/>
      <c r="B837" s="602"/>
      <c r="C837" s="602"/>
      <c r="D837" s="602"/>
      <c r="E837" s="602"/>
      <c r="F837" s="602"/>
      <c r="G837" s="602"/>
      <c r="H837" s="602"/>
      <c r="I837" s="602"/>
      <c r="J837" s="602"/>
      <c r="K837" s="602"/>
      <c r="L837" s="602"/>
      <c r="M837" s="602"/>
      <c r="N837" s="602"/>
      <c r="O837" s="602"/>
      <c r="P837" s="602"/>
      <c r="Q837" s="602"/>
      <c r="R837" s="602"/>
    </row>
    <row r="838" spans="1:18" ht="15.75" customHeight="1">
      <c r="A838" s="602"/>
      <c r="B838" s="602"/>
      <c r="C838" s="602"/>
      <c r="D838" s="602"/>
      <c r="E838" s="602"/>
      <c r="F838" s="602"/>
      <c r="G838" s="602"/>
      <c r="H838" s="602"/>
      <c r="I838" s="602"/>
      <c r="J838" s="602"/>
      <c r="K838" s="602"/>
      <c r="L838" s="602"/>
      <c r="M838" s="602"/>
      <c r="N838" s="602"/>
      <c r="O838" s="602"/>
      <c r="P838" s="602"/>
      <c r="Q838" s="602"/>
      <c r="R838" s="602"/>
    </row>
    <row r="839" spans="1:18" ht="15.75" customHeight="1">
      <c r="A839" s="602"/>
      <c r="B839" s="602"/>
      <c r="C839" s="602"/>
      <c r="D839" s="602"/>
      <c r="E839" s="602"/>
      <c r="F839" s="602"/>
      <c r="G839" s="602"/>
      <c r="H839" s="602"/>
      <c r="I839" s="602"/>
      <c r="J839" s="602"/>
      <c r="K839" s="602"/>
      <c r="L839" s="602"/>
      <c r="M839" s="602"/>
      <c r="N839" s="602"/>
      <c r="O839" s="602"/>
      <c r="P839" s="602"/>
      <c r="Q839" s="602"/>
      <c r="R839" s="602"/>
    </row>
    <row r="840" spans="1:18" ht="15.75" customHeight="1">
      <c r="A840" s="602"/>
      <c r="B840" s="602"/>
      <c r="C840" s="602"/>
      <c r="D840" s="602"/>
      <c r="E840" s="602"/>
      <c r="F840" s="602"/>
      <c r="G840" s="602"/>
      <c r="H840" s="602"/>
      <c r="I840" s="602"/>
      <c r="J840" s="602"/>
      <c r="K840" s="602"/>
      <c r="L840" s="602"/>
      <c r="M840" s="602"/>
      <c r="N840" s="602"/>
      <c r="O840" s="602"/>
      <c r="P840" s="602"/>
      <c r="Q840" s="602"/>
      <c r="R840" s="602"/>
    </row>
    <row r="841" spans="1:18" ht="15.75" customHeight="1">
      <c r="A841" s="602"/>
      <c r="B841" s="602"/>
      <c r="C841" s="602"/>
      <c r="D841" s="602"/>
      <c r="E841" s="602"/>
      <c r="F841" s="602"/>
      <c r="G841" s="602"/>
      <c r="H841" s="602"/>
      <c r="I841" s="602"/>
      <c r="J841" s="602"/>
      <c r="K841" s="602"/>
      <c r="L841" s="602"/>
      <c r="M841" s="602"/>
      <c r="N841" s="602"/>
      <c r="O841" s="602"/>
      <c r="P841" s="602"/>
      <c r="Q841" s="602"/>
      <c r="R841" s="602"/>
    </row>
    <row r="842" spans="1:18" ht="15.75" customHeight="1">
      <c r="A842" s="602"/>
      <c r="B842" s="602"/>
      <c r="C842" s="602"/>
      <c r="D842" s="602"/>
      <c r="E842" s="602"/>
      <c r="F842" s="602"/>
      <c r="G842" s="602"/>
      <c r="H842" s="602"/>
      <c r="I842" s="602"/>
      <c r="J842" s="602"/>
      <c r="K842" s="602"/>
      <c r="L842" s="602"/>
      <c r="M842" s="602"/>
      <c r="N842" s="602"/>
      <c r="O842" s="602"/>
      <c r="P842" s="602"/>
      <c r="Q842" s="602"/>
      <c r="R842" s="602"/>
    </row>
    <row r="843" spans="1:18" ht="15.75" customHeight="1">
      <c r="A843" s="602"/>
      <c r="B843" s="602"/>
      <c r="C843" s="602"/>
      <c r="D843" s="602"/>
      <c r="E843" s="602"/>
      <c r="F843" s="602"/>
      <c r="G843" s="602"/>
      <c r="H843" s="602"/>
      <c r="I843" s="602"/>
      <c r="J843" s="602"/>
      <c r="K843" s="602"/>
      <c r="L843" s="602"/>
      <c r="M843" s="602"/>
      <c r="N843" s="602"/>
      <c r="O843" s="602"/>
      <c r="P843" s="602"/>
      <c r="Q843" s="602"/>
      <c r="R843" s="602"/>
    </row>
    <row r="844" spans="1:18" ht="15.75" customHeight="1">
      <c r="A844" s="602"/>
      <c r="B844" s="602"/>
      <c r="C844" s="602"/>
      <c r="D844" s="602"/>
      <c r="E844" s="602"/>
      <c r="F844" s="602"/>
      <c r="G844" s="602"/>
      <c r="H844" s="602"/>
      <c r="I844" s="602"/>
      <c r="J844" s="602"/>
      <c r="K844" s="602"/>
      <c r="L844" s="602"/>
      <c r="M844" s="602"/>
      <c r="N844" s="602"/>
      <c r="O844" s="602"/>
      <c r="P844" s="602"/>
      <c r="Q844" s="602"/>
      <c r="R844" s="602"/>
    </row>
    <row r="845" spans="1:18" ht="15.75" customHeight="1">
      <c r="A845" s="602"/>
      <c r="B845" s="602"/>
      <c r="C845" s="602"/>
      <c r="D845" s="602"/>
      <c r="E845" s="602"/>
      <c r="F845" s="602"/>
      <c r="G845" s="602"/>
      <c r="H845" s="602"/>
      <c r="I845" s="602"/>
      <c r="J845" s="602"/>
      <c r="K845" s="602"/>
      <c r="L845" s="602"/>
      <c r="M845" s="602"/>
      <c r="N845" s="602"/>
      <c r="O845" s="602"/>
      <c r="P845" s="602"/>
      <c r="Q845" s="602"/>
      <c r="R845" s="602"/>
    </row>
    <row r="846" spans="1:18" ht="15.75" customHeight="1">
      <c r="A846" s="602"/>
      <c r="B846" s="602"/>
      <c r="C846" s="602"/>
      <c r="D846" s="602"/>
      <c r="E846" s="602"/>
      <c r="F846" s="602"/>
      <c r="G846" s="602"/>
      <c r="H846" s="602"/>
      <c r="I846" s="602"/>
      <c r="J846" s="602"/>
      <c r="K846" s="602"/>
      <c r="L846" s="602"/>
      <c r="M846" s="602"/>
      <c r="N846" s="602"/>
      <c r="O846" s="602"/>
      <c r="P846" s="602"/>
      <c r="Q846" s="602"/>
      <c r="R846" s="602"/>
    </row>
    <row r="847" spans="1:18" ht="15.75" customHeight="1">
      <c r="A847" s="602"/>
      <c r="B847" s="602"/>
      <c r="C847" s="602"/>
      <c r="D847" s="602"/>
      <c r="E847" s="602"/>
      <c r="F847" s="602"/>
      <c r="G847" s="602"/>
      <c r="H847" s="602"/>
      <c r="I847" s="602"/>
      <c r="J847" s="602"/>
      <c r="K847" s="602"/>
      <c r="L847" s="602"/>
      <c r="M847" s="602"/>
      <c r="N847" s="602"/>
      <c r="O847" s="602"/>
      <c r="P847" s="602"/>
      <c r="Q847" s="602"/>
      <c r="R847" s="602"/>
    </row>
    <row r="848" spans="1:18" ht="15.75" customHeight="1">
      <c r="A848" s="602"/>
      <c r="B848" s="602"/>
      <c r="C848" s="602"/>
      <c r="D848" s="602"/>
      <c r="E848" s="602"/>
      <c r="F848" s="602"/>
      <c r="G848" s="602"/>
      <c r="H848" s="602"/>
      <c r="I848" s="602"/>
      <c r="J848" s="602"/>
      <c r="K848" s="602"/>
      <c r="L848" s="602"/>
      <c r="M848" s="602"/>
      <c r="N848" s="602"/>
      <c r="O848" s="602"/>
      <c r="P848" s="602"/>
      <c r="Q848" s="602"/>
      <c r="R848" s="602"/>
    </row>
    <row r="849" spans="1:18" ht="15.75" customHeight="1">
      <c r="A849" s="602"/>
      <c r="B849" s="602"/>
      <c r="C849" s="602"/>
      <c r="D849" s="602"/>
      <c r="E849" s="602"/>
      <c r="F849" s="602"/>
      <c r="G849" s="602"/>
      <c r="H849" s="602"/>
      <c r="I849" s="602"/>
      <c r="J849" s="602"/>
      <c r="K849" s="602"/>
      <c r="L849" s="602"/>
      <c r="M849" s="602"/>
      <c r="N849" s="602"/>
      <c r="O849" s="602"/>
      <c r="P849" s="602"/>
      <c r="Q849" s="602"/>
      <c r="R849" s="602"/>
    </row>
    <row r="850" spans="1:18" ht="15.75" customHeight="1">
      <c r="A850" s="602"/>
      <c r="B850" s="602"/>
      <c r="C850" s="602"/>
      <c r="D850" s="602"/>
      <c r="E850" s="602"/>
      <c r="F850" s="602"/>
      <c r="G850" s="602"/>
      <c r="H850" s="602"/>
      <c r="I850" s="602"/>
      <c r="J850" s="602"/>
      <c r="K850" s="602"/>
      <c r="L850" s="602"/>
      <c r="M850" s="602"/>
      <c r="N850" s="602"/>
      <c r="O850" s="602"/>
      <c r="P850" s="602"/>
      <c r="Q850" s="602"/>
      <c r="R850" s="602"/>
    </row>
    <row r="851" spans="1:18" ht="15.75" customHeight="1">
      <c r="A851" s="602"/>
      <c r="B851" s="602"/>
      <c r="C851" s="602"/>
      <c r="D851" s="602"/>
      <c r="E851" s="602"/>
      <c r="F851" s="602"/>
      <c r="G851" s="602"/>
      <c r="H851" s="602"/>
      <c r="I851" s="602"/>
      <c r="J851" s="602"/>
      <c r="K851" s="602"/>
      <c r="L851" s="602"/>
      <c r="M851" s="602"/>
      <c r="N851" s="602"/>
      <c r="O851" s="602"/>
      <c r="P851" s="602"/>
      <c r="Q851" s="602"/>
      <c r="R851" s="602"/>
    </row>
    <row r="852" spans="1:18" ht="15.75" customHeight="1">
      <c r="A852" s="602"/>
      <c r="B852" s="602"/>
      <c r="C852" s="602"/>
      <c r="D852" s="602"/>
      <c r="E852" s="602"/>
      <c r="F852" s="602"/>
      <c r="G852" s="602"/>
      <c r="H852" s="602"/>
      <c r="I852" s="602"/>
      <c r="J852" s="602"/>
      <c r="K852" s="602"/>
      <c r="L852" s="602"/>
      <c r="M852" s="602"/>
      <c r="N852" s="602"/>
      <c r="O852" s="602"/>
      <c r="P852" s="602"/>
      <c r="Q852" s="602"/>
      <c r="R852" s="602"/>
    </row>
    <row r="853" spans="1:18" ht="15.75" customHeight="1">
      <c r="A853" s="602"/>
      <c r="B853" s="602"/>
      <c r="C853" s="602"/>
      <c r="D853" s="602"/>
      <c r="E853" s="602"/>
      <c r="F853" s="602"/>
      <c r="G853" s="602"/>
      <c r="H853" s="602"/>
      <c r="I853" s="602"/>
      <c r="J853" s="602"/>
      <c r="K853" s="602"/>
      <c r="L853" s="602"/>
      <c r="M853" s="602"/>
      <c r="N853" s="602"/>
      <c r="O853" s="602"/>
      <c r="P853" s="602"/>
      <c r="Q853" s="602"/>
      <c r="R853" s="602"/>
    </row>
    <row r="854" spans="1:18" ht="15.75" customHeight="1">
      <c r="A854" s="602"/>
      <c r="B854" s="602"/>
      <c r="C854" s="602"/>
      <c r="D854" s="602"/>
      <c r="E854" s="602"/>
      <c r="F854" s="602"/>
      <c r="G854" s="602"/>
      <c r="H854" s="602"/>
      <c r="I854" s="602"/>
      <c r="J854" s="602"/>
      <c r="K854" s="602"/>
      <c r="L854" s="602"/>
      <c r="M854" s="602"/>
      <c r="N854" s="602"/>
      <c r="O854" s="602"/>
      <c r="P854" s="602"/>
      <c r="Q854" s="602"/>
      <c r="R854" s="602"/>
    </row>
    <row r="855" spans="1:18" ht="15.75" customHeight="1">
      <c r="A855" s="602"/>
      <c r="B855" s="602"/>
      <c r="C855" s="602"/>
      <c r="D855" s="602"/>
      <c r="E855" s="602"/>
      <c r="F855" s="602"/>
      <c r="G855" s="602"/>
      <c r="H855" s="602"/>
      <c r="I855" s="602"/>
      <c r="J855" s="602"/>
      <c r="K855" s="602"/>
      <c r="L855" s="602"/>
      <c r="M855" s="602"/>
      <c r="N855" s="602"/>
      <c r="O855" s="602"/>
      <c r="P855" s="602"/>
      <c r="Q855" s="602"/>
      <c r="R855" s="602"/>
    </row>
    <row r="856" spans="1:18" ht="15.75" customHeight="1">
      <c r="A856" s="602"/>
      <c r="B856" s="602"/>
      <c r="C856" s="602"/>
      <c r="D856" s="602"/>
      <c r="E856" s="602"/>
      <c r="F856" s="602"/>
      <c r="G856" s="602"/>
      <c r="H856" s="602"/>
      <c r="I856" s="602"/>
      <c r="J856" s="602"/>
      <c r="K856" s="602"/>
      <c r="L856" s="602"/>
      <c r="M856" s="602"/>
      <c r="N856" s="602"/>
      <c r="O856" s="602"/>
      <c r="P856" s="602"/>
      <c r="Q856" s="602"/>
      <c r="R856" s="602"/>
    </row>
    <row r="857" spans="1:18" ht="15.75" customHeight="1">
      <c r="A857" s="602"/>
      <c r="B857" s="602"/>
      <c r="C857" s="602"/>
      <c r="D857" s="602"/>
      <c r="E857" s="602"/>
      <c r="F857" s="602"/>
      <c r="G857" s="602"/>
      <c r="H857" s="602"/>
      <c r="I857" s="602"/>
      <c r="J857" s="602"/>
      <c r="K857" s="602"/>
      <c r="L857" s="602"/>
      <c r="M857" s="602"/>
      <c r="N857" s="602"/>
      <c r="O857" s="602"/>
      <c r="P857" s="602"/>
      <c r="Q857" s="602"/>
      <c r="R857" s="602"/>
    </row>
    <row r="858" spans="1:18" ht="15.75" customHeight="1">
      <c r="A858" s="602"/>
      <c r="B858" s="602"/>
      <c r="C858" s="602"/>
      <c r="D858" s="602"/>
      <c r="E858" s="602"/>
      <c r="F858" s="602"/>
      <c r="G858" s="602"/>
      <c r="H858" s="602"/>
      <c r="I858" s="602"/>
      <c r="J858" s="602"/>
      <c r="K858" s="602"/>
      <c r="L858" s="602"/>
      <c r="M858" s="602"/>
      <c r="N858" s="602"/>
      <c r="O858" s="602"/>
      <c r="P858" s="602"/>
      <c r="Q858" s="602"/>
      <c r="R858" s="602"/>
    </row>
    <row r="859" spans="1:18" ht="15.75" customHeight="1">
      <c r="A859" s="602"/>
      <c r="B859" s="602"/>
      <c r="C859" s="602"/>
      <c r="D859" s="602"/>
      <c r="E859" s="602"/>
      <c r="F859" s="602"/>
      <c r="G859" s="602"/>
      <c r="H859" s="602"/>
      <c r="I859" s="602"/>
      <c r="J859" s="602"/>
      <c r="K859" s="602"/>
      <c r="L859" s="602"/>
      <c r="M859" s="602"/>
      <c r="N859" s="602"/>
      <c r="O859" s="602"/>
      <c r="P859" s="602"/>
      <c r="Q859" s="602"/>
      <c r="R859" s="602"/>
    </row>
    <row r="860" spans="1:18" ht="15.75" customHeight="1">
      <c r="A860" s="602"/>
      <c r="B860" s="602"/>
      <c r="C860" s="602"/>
      <c r="D860" s="602"/>
      <c r="E860" s="602"/>
      <c r="F860" s="602"/>
      <c r="G860" s="602"/>
      <c r="H860" s="602"/>
      <c r="I860" s="602"/>
      <c r="J860" s="602"/>
      <c r="K860" s="602"/>
      <c r="L860" s="602"/>
      <c r="M860" s="602"/>
      <c r="N860" s="602"/>
      <c r="O860" s="602"/>
      <c r="P860" s="602"/>
      <c r="Q860" s="602"/>
      <c r="R860" s="602"/>
    </row>
    <row r="861" spans="1:18" ht="15.75" customHeight="1">
      <c r="A861" s="602"/>
      <c r="B861" s="602"/>
      <c r="C861" s="602"/>
      <c r="D861" s="602"/>
      <c r="E861" s="602"/>
      <c r="F861" s="602"/>
      <c r="G861" s="602"/>
      <c r="H861" s="602"/>
      <c r="I861" s="602"/>
      <c r="J861" s="602"/>
      <c r="K861" s="602"/>
      <c r="L861" s="602"/>
      <c r="M861" s="602"/>
      <c r="N861" s="602"/>
      <c r="O861" s="602"/>
      <c r="P861" s="602"/>
      <c r="Q861" s="602"/>
      <c r="R861" s="602"/>
    </row>
    <row r="862" spans="1:18" ht="15.75" customHeight="1">
      <c r="A862" s="602"/>
      <c r="B862" s="602"/>
      <c r="C862" s="602"/>
      <c r="D862" s="602"/>
      <c r="E862" s="602"/>
      <c r="F862" s="602"/>
      <c r="G862" s="602"/>
      <c r="H862" s="602"/>
      <c r="I862" s="602"/>
      <c r="J862" s="602"/>
      <c r="K862" s="602"/>
      <c r="L862" s="602"/>
      <c r="M862" s="602"/>
      <c r="N862" s="602"/>
      <c r="O862" s="602"/>
      <c r="P862" s="602"/>
      <c r="Q862" s="602"/>
      <c r="R862" s="602"/>
    </row>
    <row r="863" spans="1:18" ht="15.75" customHeight="1">
      <c r="A863" s="602"/>
      <c r="B863" s="602"/>
      <c r="C863" s="602"/>
      <c r="D863" s="602"/>
      <c r="E863" s="602"/>
      <c r="F863" s="602"/>
      <c r="G863" s="602"/>
      <c r="H863" s="602"/>
      <c r="I863" s="602"/>
      <c r="J863" s="602"/>
      <c r="K863" s="602"/>
      <c r="L863" s="602"/>
      <c r="M863" s="602"/>
      <c r="N863" s="602"/>
      <c r="O863" s="602"/>
      <c r="P863" s="602"/>
      <c r="Q863" s="602"/>
      <c r="R863" s="602"/>
    </row>
    <row r="864" spans="1:18" ht="15.75" customHeight="1">
      <c r="A864" s="602"/>
      <c r="B864" s="602"/>
      <c r="C864" s="602"/>
      <c r="D864" s="602"/>
      <c r="E864" s="602"/>
      <c r="F864" s="602"/>
      <c r="G864" s="602"/>
      <c r="H864" s="602"/>
      <c r="I864" s="602"/>
      <c r="J864" s="602"/>
      <c r="K864" s="602"/>
      <c r="L864" s="602"/>
      <c r="M864" s="602"/>
      <c r="N864" s="602"/>
      <c r="O864" s="602"/>
      <c r="P864" s="602"/>
      <c r="Q864" s="602"/>
      <c r="R864" s="602"/>
    </row>
    <row r="865" spans="1:18" ht="15.75" customHeight="1">
      <c r="A865" s="602"/>
      <c r="B865" s="602"/>
      <c r="C865" s="602"/>
      <c r="D865" s="602"/>
      <c r="E865" s="602"/>
      <c r="F865" s="602"/>
      <c r="G865" s="602"/>
      <c r="H865" s="602"/>
      <c r="I865" s="602"/>
      <c r="J865" s="602"/>
      <c r="K865" s="602"/>
      <c r="L865" s="602"/>
      <c r="M865" s="602"/>
      <c r="N865" s="602"/>
      <c r="O865" s="602"/>
      <c r="P865" s="602"/>
      <c r="Q865" s="602"/>
      <c r="R865" s="602"/>
    </row>
    <row r="866" spans="1:18" ht="15.75" customHeight="1">
      <c r="A866" s="602"/>
      <c r="B866" s="602"/>
      <c r="C866" s="602"/>
      <c r="D866" s="602"/>
      <c r="E866" s="602"/>
      <c r="F866" s="602"/>
      <c r="G866" s="602"/>
      <c r="H866" s="602"/>
      <c r="I866" s="602"/>
      <c r="J866" s="602"/>
      <c r="K866" s="602"/>
      <c r="L866" s="602"/>
      <c r="M866" s="602"/>
      <c r="N866" s="602"/>
      <c r="O866" s="602"/>
      <c r="P866" s="602"/>
      <c r="Q866" s="602"/>
      <c r="R866" s="602"/>
    </row>
    <row r="867" spans="1:18" ht="15.75" customHeight="1">
      <c r="A867" s="602"/>
      <c r="B867" s="602"/>
      <c r="C867" s="602"/>
      <c r="D867" s="602"/>
      <c r="E867" s="602"/>
      <c r="F867" s="602"/>
      <c r="G867" s="602"/>
      <c r="H867" s="602"/>
      <c r="I867" s="602"/>
      <c r="J867" s="602"/>
      <c r="K867" s="602"/>
      <c r="L867" s="602"/>
      <c r="M867" s="602"/>
      <c r="N867" s="602"/>
      <c r="O867" s="602"/>
      <c r="P867" s="602"/>
      <c r="Q867" s="602"/>
      <c r="R867" s="602"/>
    </row>
    <row r="868" spans="1:18" ht="15.75" customHeight="1">
      <c r="A868" s="602"/>
      <c r="B868" s="602"/>
      <c r="C868" s="602"/>
      <c r="D868" s="602"/>
      <c r="E868" s="602"/>
      <c r="F868" s="602"/>
      <c r="G868" s="602"/>
      <c r="H868" s="602"/>
      <c r="I868" s="602"/>
      <c r="J868" s="602"/>
      <c r="K868" s="602"/>
      <c r="L868" s="602"/>
      <c r="M868" s="602"/>
      <c r="N868" s="602"/>
      <c r="O868" s="602"/>
      <c r="P868" s="602"/>
      <c r="Q868" s="602"/>
      <c r="R868" s="602"/>
    </row>
    <row r="869" spans="1:18" ht="15.75" customHeight="1">
      <c r="A869" s="602"/>
      <c r="B869" s="602"/>
      <c r="C869" s="602"/>
      <c r="D869" s="602"/>
      <c r="E869" s="602"/>
      <c r="F869" s="602"/>
      <c r="G869" s="602"/>
      <c r="H869" s="602"/>
      <c r="I869" s="602"/>
      <c r="J869" s="602"/>
      <c r="K869" s="602"/>
      <c r="L869" s="602"/>
      <c r="M869" s="602"/>
      <c r="N869" s="602"/>
      <c r="O869" s="602"/>
      <c r="P869" s="602"/>
      <c r="Q869" s="602"/>
      <c r="R869" s="602"/>
    </row>
    <row r="870" spans="1:18" ht="15.75" customHeight="1">
      <c r="A870" s="602"/>
      <c r="B870" s="602"/>
      <c r="C870" s="602"/>
      <c r="D870" s="602"/>
      <c r="E870" s="602"/>
      <c r="F870" s="602"/>
      <c r="G870" s="602"/>
      <c r="H870" s="602"/>
      <c r="I870" s="602"/>
      <c r="J870" s="602"/>
      <c r="K870" s="602"/>
      <c r="L870" s="602"/>
      <c r="M870" s="602"/>
      <c r="N870" s="602"/>
      <c r="O870" s="602"/>
      <c r="P870" s="602"/>
      <c r="Q870" s="602"/>
      <c r="R870" s="602"/>
    </row>
    <row r="871" spans="1:18" ht="15.75" customHeight="1">
      <c r="A871" s="602"/>
      <c r="B871" s="602"/>
      <c r="C871" s="602"/>
      <c r="D871" s="602"/>
      <c r="E871" s="602"/>
      <c r="F871" s="602"/>
      <c r="G871" s="602"/>
      <c r="H871" s="602"/>
      <c r="I871" s="602"/>
      <c r="J871" s="602"/>
      <c r="K871" s="602"/>
      <c r="L871" s="602"/>
      <c r="M871" s="602"/>
      <c r="N871" s="602"/>
      <c r="O871" s="602"/>
      <c r="P871" s="602"/>
      <c r="Q871" s="602"/>
      <c r="R871" s="602"/>
    </row>
    <row r="872" spans="1:18" ht="15.75" customHeight="1">
      <c r="A872" s="602"/>
      <c r="B872" s="602"/>
      <c r="C872" s="602"/>
      <c r="D872" s="602"/>
      <c r="E872" s="602"/>
      <c r="F872" s="602"/>
      <c r="G872" s="602"/>
      <c r="H872" s="602"/>
      <c r="I872" s="602"/>
      <c r="J872" s="602"/>
      <c r="K872" s="602"/>
      <c r="L872" s="602"/>
      <c r="M872" s="602"/>
      <c r="N872" s="602"/>
      <c r="O872" s="602"/>
      <c r="P872" s="602"/>
      <c r="Q872" s="602"/>
      <c r="R872" s="602"/>
    </row>
    <row r="873" spans="1:18" ht="15.75" customHeight="1">
      <c r="A873" s="602"/>
      <c r="B873" s="602"/>
      <c r="C873" s="602"/>
      <c r="D873" s="602"/>
      <c r="E873" s="602"/>
      <c r="F873" s="602"/>
      <c r="G873" s="602"/>
      <c r="H873" s="602"/>
      <c r="I873" s="602"/>
      <c r="J873" s="602"/>
      <c r="K873" s="602"/>
      <c r="L873" s="602"/>
      <c r="M873" s="602"/>
      <c r="N873" s="602"/>
      <c r="O873" s="602"/>
      <c r="P873" s="602"/>
      <c r="Q873" s="602"/>
      <c r="R873" s="602"/>
    </row>
    <row r="874" spans="1:18" ht="15.75" customHeight="1">
      <c r="A874" s="602"/>
      <c r="B874" s="602"/>
      <c r="C874" s="602"/>
      <c r="D874" s="602"/>
      <c r="E874" s="602"/>
      <c r="F874" s="602"/>
      <c r="G874" s="602"/>
      <c r="H874" s="602"/>
      <c r="I874" s="602"/>
      <c r="J874" s="602"/>
      <c r="K874" s="602"/>
      <c r="L874" s="602"/>
      <c r="M874" s="602"/>
      <c r="N874" s="602"/>
      <c r="O874" s="602"/>
      <c r="P874" s="602"/>
      <c r="Q874" s="602"/>
      <c r="R874" s="602"/>
    </row>
    <row r="875" spans="1:18" ht="15.75" customHeight="1">
      <c r="A875" s="602"/>
      <c r="B875" s="602"/>
      <c r="C875" s="602"/>
      <c r="D875" s="602"/>
      <c r="E875" s="602"/>
      <c r="F875" s="602"/>
      <c r="G875" s="602"/>
      <c r="H875" s="602"/>
      <c r="I875" s="602"/>
      <c r="J875" s="602"/>
      <c r="K875" s="602"/>
      <c r="L875" s="602"/>
      <c r="M875" s="602"/>
      <c r="N875" s="602"/>
      <c r="O875" s="602"/>
      <c r="P875" s="602"/>
      <c r="Q875" s="602"/>
      <c r="R875" s="602"/>
    </row>
    <row r="876" spans="1:18" ht="15.75" customHeight="1">
      <c r="A876" s="602"/>
      <c r="B876" s="602"/>
      <c r="C876" s="602"/>
      <c r="D876" s="602"/>
      <c r="E876" s="602"/>
      <c r="F876" s="602"/>
      <c r="G876" s="602"/>
      <c r="H876" s="602"/>
      <c r="I876" s="602"/>
      <c r="J876" s="602"/>
      <c r="K876" s="602"/>
      <c r="L876" s="602"/>
      <c r="M876" s="602"/>
      <c r="N876" s="602"/>
      <c r="O876" s="602"/>
      <c r="P876" s="602"/>
      <c r="Q876" s="602"/>
      <c r="R876" s="602"/>
    </row>
    <row r="877" spans="1:18" ht="15.75" customHeight="1">
      <c r="A877" s="602"/>
      <c r="B877" s="602"/>
      <c r="C877" s="602"/>
      <c r="D877" s="602"/>
      <c r="E877" s="602"/>
      <c r="F877" s="602"/>
      <c r="G877" s="602"/>
      <c r="H877" s="602"/>
      <c r="I877" s="602"/>
      <c r="J877" s="602"/>
      <c r="K877" s="602"/>
      <c r="L877" s="602"/>
      <c r="M877" s="602"/>
      <c r="N877" s="602"/>
      <c r="O877" s="602"/>
      <c r="P877" s="602"/>
      <c r="Q877" s="602"/>
      <c r="R877" s="602"/>
    </row>
    <row r="878" spans="1:18" ht="15.75" customHeight="1">
      <c r="A878" s="602"/>
      <c r="B878" s="602"/>
      <c r="C878" s="602"/>
      <c r="D878" s="602"/>
      <c r="E878" s="602"/>
      <c r="F878" s="602"/>
      <c r="G878" s="602"/>
      <c r="H878" s="602"/>
      <c r="I878" s="602"/>
      <c r="J878" s="602"/>
      <c r="K878" s="602"/>
      <c r="L878" s="602"/>
      <c r="M878" s="602"/>
      <c r="N878" s="602"/>
      <c r="O878" s="602"/>
      <c r="P878" s="602"/>
      <c r="Q878" s="602"/>
      <c r="R878" s="602"/>
    </row>
    <row r="879" spans="1:18" ht="15.75" customHeight="1">
      <c r="A879" s="602"/>
      <c r="B879" s="602"/>
      <c r="C879" s="602"/>
      <c r="D879" s="602"/>
      <c r="E879" s="602"/>
      <c r="F879" s="602"/>
      <c r="G879" s="602"/>
      <c r="H879" s="602"/>
      <c r="I879" s="602"/>
      <c r="J879" s="602"/>
      <c r="K879" s="602"/>
      <c r="L879" s="602"/>
      <c r="M879" s="602"/>
      <c r="N879" s="602"/>
      <c r="O879" s="602"/>
      <c r="P879" s="602"/>
      <c r="Q879" s="602"/>
      <c r="R879" s="602"/>
    </row>
    <row r="880" spans="1:18" ht="15.75" customHeight="1">
      <c r="A880" s="602"/>
      <c r="B880" s="602"/>
      <c r="C880" s="602"/>
      <c r="D880" s="602"/>
      <c r="E880" s="602"/>
      <c r="F880" s="602"/>
      <c r="G880" s="602"/>
      <c r="H880" s="602"/>
      <c r="I880" s="602"/>
      <c r="J880" s="602"/>
      <c r="K880" s="602"/>
      <c r="L880" s="602"/>
      <c r="M880" s="602"/>
      <c r="N880" s="602"/>
      <c r="O880" s="602"/>
      <c r="P880" s="602"/>
      <c r="Q880" s="602"/>
      <c r="R880" s="602"/>
    </row>
    <row r="881" spans="1:18" ht="15.75" customHeight="1">
      <c r="A881" s="602"/>
      <c r="B881" s="602"/>
      <c r="C881" s="602"/>
      <c r="D881" s="602"/>
      <c r="E881" s="602"/>
      <c r="F881" s="602"/>
      <c r="G881" s="602"/>
      <c r="H881" s="602"/>
      <c r="I881" s="602"/>
      <c r="J881" s="602"/>
      <c r="K881" s="602"/>
      <c r="L881" s="602"/>
      <c r="M881" s="602"/>
      <c r="N881" s="602"/>
      <c r="O881" s="602"/>
      <c r="P881" s="602"/>
      <c r="Q881" s="602"/>
      <c r="R881" s="602"/>
    </row>
    <row r="882" spans="1:18" ht="15.75" customHeight="1">
      <c r="A882" s="602"/>
      <c r="B882" s="602"/>
      <c r="C882" s="602"/>
      <c r="D882" s="602"/>
      <c r="E882" s="602"/>
      <c r="F882" s="602"/>
      <c r="G882" s="602"/>
      <c r="H882" s="602"/>
      <c r="I882" s="602"/>
      <c r="J882" s="602"/>
      <c r="K882" s="602"/>
      <c r="L882" s="602"/>
      <c r="M882" s="602"/>
      <c r="N882" s="602"/>
      <c r="O882" s="602"/>
      <c r="P882" s="602"/>
      <c r="Q882" s="602"/>
      <c r="R882" s="602"/>
    </row>
    <row r="883" spans="1:18" ht="15.75" customHeight="1">
      <c r="A883" s="602"/>
      <c r="B883" s="602"/>
      <c r="C883" s="602"/>
      <c r="D883" s="602"/>
      <c r="E883" s="602"/>
      <c r="F883" s="602"/>
      <c r="G883" s="602"/>
      <c r="H883" s="602"/>
      <c r="I883" s="602"/>
      <c r="J883" s="602"/>
      <c r="K883" s="602"/>
      <c r="L883" s="602"/>
      <c r="M883" s="602"/>
      <c r="N883" s="602"/>
      <c r="O883" s="602"/>
      <c r="P883" s="602"/>
      <c r="Q883" s="602"/>
      <c r="R883" s="602"/>
    </row>
    <row r="884" spans="1:18" ht="15.75" customHeight="1">
      <c r="A884" s="602"/>
      <c r="B884" s="602"/>
      <c r="C884" s="602"/>
      <c r="D884" s="602"/>
      <c r="E884" s="602"/>
      <c r="F884" s="602"/>
      <c r="G884" s="602"/>
      <c r="H884" s="602"/>
      <c r="I884" s="602"/>
      <c r="J884" s="602"/>
      <c r="K884" s="602"/>
      <c r="L884" s="602"/>
      <c r="M884" s="602"/>
      <c r="N884" s="602"/>
      <c r="O884" s="602"/>
      <c r="P884" s="602"/>
      <c r="Q884" s="602"/>
      <c r="R884" s="602"/>
    </row>
    <row r="885" spans="1:18" ht="15.75" customHeight="1">
      <c r="A885" s="602"/>
      <c r="B885" s="602"/>
      <c r="C885" s="602"/>
      <c r="D885" s="602"/>
      <c r="E885" s="602"/>
      <c r="F885" s="602"/>
      <c r="G885" s="602"/>
      <c r="H885" s="602"/>
      <c r="I885" s="602"/>
      <c r="J885" s="602"/>
      <c r="K885" s="602"/>
      <c r="L885" s="602"/>
      <c r="M885" s="602"/>
      <c r="N885" s="602"/>
      <c r="O885" s="602"/>
      <c r="P885" s="602"/>
      <c r="Q885" s="602"/>
      <c r="R885" s="602"/>
    </row>
    <row r="886" spans="1:18" ht="15.75" customHeight="1">
      <c r="A886" s="602"/>
      <c r="B886" s="602"/>
      <c r="C886" s="602"/>
      <c r="D886" s="602"/>
      <c r="E886" s="602"/>
      <c r="F886" s="602"/>
      <c r="G886" s="602"/>
      <c r="H886" s="602"/>
      <c r="I886" s="602"/>
      <c r="J886" s="602"/>
      <c r="K886" s="602"/>
      <c r="L886" s="602"/>
      <c r="M886" s="602"/>
      <c r="N886" s="602"/>
      <c r="O886" s="602"/>
      <c r="P886" s="602"/>
      <c r="Q886" s="602"/>
      <c r="R886" s="602"/>
    </row>
    <row r="887" spans="1:18" ht="15.75" customHeight="1">
      <c r="A887" s="602"/>
      <c r="B887" s="602"/>
      <c r="C887" s="602"/>
      <c r="D887" s="602"/>
      <c r="E887" s="602"/>
      <c r="F887" s="602"/>
      <c r="G887" s="602"/>
      <c r="H887" s="602"/>
      <c r="I887" s="602"/>
      <c r="J887" s="602"/>
      <c r="K887" s="602"/>
      <c r="L887" s="602"/>
      <c r="M887" s="602"/>
      <c r="N887" s="602"/>
      <c r="O887" s="602"/>
      <c r="P887" s="602"/>
      <c r="Q887" s="602"/>
      <c r="R887" s="602"/>
    </row>
    <row r="888" spans="1:18" ht="15.75" customHeight="1">
      <c r="A888" s="602"/>
      <c r="B888" s="602"/>
      <c r="C888" s="602"/>
      <c r="D888" s="602"/>
      <c r="E888" s="602"/>
      <c r="F888" s="602"/>
      <c r="G888" s="602"/>
      <c r="H888" s="602"/>
      <c r="I888" s="602"/>
      <c r="J888" s="602"/>
      <c r="K888" s="602"/>
      <c r="L888" s="602"/>
      <c r="M888" s="602"/>
      <c r="N888" s="602"/>
      <c r="O888" s="602"/>
      <c r="P888" s="602"/>
      <c r="Q888" s="602"/>
      <c r="R888" s="602"/>
    </row>
    <row r="889" spans="1:18" ht="15.75" customHeight="1">
      <c r="A889" s="602"/>
      <c r="B889" s="602"/>
      <c r="C889" s="602"/>
      <c r="D889" s="602"/>
      <c r="E889" s="602"/>
      <c r="F889" s="602"/>
      <c r="G889" s="602"/>
      <c r="H889" s="602"/>
      <c r="I889" s="602"/>
      <c r="J889" s="602"/>
      <c r="K889" s="602"/>
      <c r="L889" s="602"/>
      <c r="M889" s="602"/>
      <c r="N889" s="602"/>
      <c r="O889" s="602"/>
      <c r="P889" s="602"/>
      <c r="Q889" s="602"/>
      <c r="R889" s="602"/>
    </row>
    <row r="890" spans="1:18" ht="15.75" customHeight="1">
      <c r="A890" s="602"/>
      <c r="B890" s="602"/>
      <c r="C890" s="602"/>
      <c r="D890" s="602"/>
      <c r="E890" s="602"/>
      <c r="F890" s="602"/>
      <c r="G890" s="602"/>
      <c r="H890" s="602"/>
      <c r="I890" s="602"/>
      <c r="J890" s="602"/>
      <c r="K890" s="602"/>
      <c r="L890" s="602"/>
      <c r="M890" s="602"/>
      <c r="N890" s="602"/>
      <c r="O890" s="602"/>
      <c r="P890" s="602"/>
      <c r="Q890" s="602"/>
      <c r="R890" s="602"/>
    </row>
    <row r="891" spans="1:18" ht="15.75" customHeight="1">
      <c r="A891" s="602"/>
      <c r="B891" s="602"/>
      <c r="C891" s="602"/>
      <c r="D891" s="602"/>
      <c r="E891" s="602"/>
      <c r="F891" s="602"/>
      <c r="G891" s="602"/>
      <c r="H891" s="602"/>
      <c r="I891" s="602"/>
      <c r="J891" s="602"/>
      <c r="K891" s="602"/>
      <c r="L891" s="602"/>
      <c r="M891" s="602"/>
      <c r="N891" s="602"/>
      <c r="O891" s="602"/>
      <c r="P891" s="602"/>
      <c r="Q891" s="602"/>
      <c r="R891" s="602"/>
    </row>
    <row r="892" spans="1:18" ht="15.75" customHeight="1">
      <c r="A892" s="602"/>
      <c r="B892" s="602"/>
      <c r="C892" s="602"/>
      <c r="D892" s="602"/>
      <c r="E892" s="602"/>
      <c r="F892" s="602"/>
      <c r="G892" s="602"/>
      <c r="H892" s="602"/>
      <c r="I892" s="602"/>
      <c r="J892" s="602"/>
      <c r="K892" s="602"/>
      <c r="L892" s="602"/>
      <c r="M892" s="602"/>
      <c r="N892" s="602"/>
      <c r="O892" s="602"/>
      <c r="P892" s="602"/>
      <c r="Q892" s="602"/>
      <c r="R892" s="602"/>
    </row>
    <row r="893" spans="1:18" ht="15.75" customHeight="1">
      <c r="A893" s="602"/>
      <c r="B893" s="602"/>
      <c r="C893" s="602"/>
      <c r="D893" s="602"/>
      <c r="E893" s="602"/>
      <c r="F893" s="602"/>
      <c r="G893" s="602"/>
      <c r="H893" s="602"/>
      <c r="I893" s="602"/>
      <c r="J893" s="602"/>
      <c r="K893" s="602"/>
      <c r="L893" s="602"/>
      <c r="M893" s="602"/>
      <c r="N893" s="602"/>
      <c r="O893" s="602"/>
      <c r="P893" s="602"/>
      <c r="Q893" s="602"/>
      <c r="R893" s="602"/>
    </row>
    <row r="894" spans="1:18" ht="15.75" customHeight="1">
      <c r="A894" s="602"/>
      <c r="B894" s="602"/>
      <c r="C894" s="602"/>
      <c r="D894" s="602"/>
      <c r="E894" s="602"/>
      <c r="F894" s="602"/>
      <c r="G894" s="602"/>
      <c r="H894" s="602"/>
      <c r="I894" s="602"/>
      <c r="J894" s="602"/>
      <c r="K894" s="602"/>
      <c r="L894" s="602"/>
      <c r="M894" s="602"/>
      <c r="N894" s="602"/>
      <c r="O894" s="602"/>
      <c r="P894" s="602"/>
      <c r="Q894" s="602"/>
      <c r="R894" s="602"/>
    </row>
    <row r="895" spans="1:18" ht="15.75" customHeight="1">
      <c r="A895" s="602"/>
      <c r="B895" s="602"/>
      <c r="C895" s="602"/>
      <c r="D895" s="602"/>
      <c r="E895" s="602"/>
      <c r="F895" s="602"/>
      <c r="G895" s="602"/>
      <c r="H895" s="602"/>
      <c r="I895" s="602"/>
      <c r="J895" s="602"/>
      <c r="K895" s="602"/>
      <c r="L895" s="602"/>
      <c r="M895" s="602"/>
      <c r="N895" s="602"/>
      <c r="O895" s="602"/>
      <c r="P895" s="602"/>
      <c r="Q895" s="602"/>
      <c r="R895" s="602"/>
    </row>
    <row r="896" spans="1:18" ht="15.75" customHeight="1">
      <c r="A896" s="602"/>
      <c r="B896" s="602"/>
      <c r="C896" s="602"/>
      <c r="D896" s="602"/>
      <c r="E896" s="602"/>
      <c r="F896" s="602"/>
      <c r="G896" s="602"/>
      <c r="H896" s="602"/>
      <c r="I896" s="602"/>
      <c r="J896" s="602"/>
      <c r="K896" s="602"/>
      <c r="L896" s="602"/>
      <c r="M896" s="602"/>
      <c r="N896" s="602"/>
      <c r="O896" s="602"/>
      <c r="P896" s="602"/>
      <c r="Q896" s="602"/>
      <c r="R896" s="602"/>
    </row>
    <row r="897" spans="1:18" ht="15.75" customHeight="1">
      <c r="A897" s="602"/>
      <c r="B897" s="602"/>
      <c r="C897" s="602"/>
      <c r="D897" s="602"/>
      <c r="E897" s="602"/>
      <c r="F897" s="602"/>
      <c r="G897" s="602"/>
      <c r="H897" s="602"/>
      <c r="I897" s="602"/>
      <c r="J897" s="602"/>
      <c r="K897" s="602"/>
      <c r="L897" s="602"/>
      <c r="M897" s="602"/>
      <c r="N897" s="602"/>
      <c r="O897" s="602"/>
      <c r="P897" s="602"/>
      <c r="Q897" s="602"/>
      <c r="R897" s="602"/>
    </row>
    <row r="898" spans="1:18" ht="15.75" customHeight="1">
      <c r="A898" s="602"/>
      <c r="B898" s="602"/>
      <c r="C898" s="602"/>
      <c r="D898" s="602"/>
      <c r="E898" s="602"/>
      <c r="F898" s="602"/>
      <c r="G898" s="602"/>
      <c r="H898" s="602"/>
      <c r="I898" s="602"/>
      <c r="J898" s="602"/>
      <c r="K898" s="602"/>
      <c r="L898" s="602"/>
      <c r="M898" s="602"/>
      <c r="N898" s="602"/>
      <c r="O898" s="602"/>
      <c r="P898" s="602"/>
      <c r="Q898" s="602"/>
      <c r="R898" s="602"/>
    </row>
    <row r="899" spans="1:18" ht="15.75" customHeight="1">
      <c r="A899" s="602"/>
      <c r="B899" s="602"/>
      <c r="C899" s="602"/>
      <c r="D899" s="602"/>
      <c r="E899" s="602"/>
      <c r="F899" s="602"/>
      <c r="G899" s="602"/>
      <c r="H899" s="602"/>
      <c r="I899" s="602"/>
      <c r="J899" s="602"/>
      <c r="K899" s="602"/>
      <c r="L899" s="602"/>
      <c r="M899" s="602"/>
      <c r="N899" s="602"/>
      <c r="O899" s="602"/>
      <c r="P899" s="602"/>
      <c r="Q899" s="602"/>
      <c r="R899" s="602"/>
    </row>
    <row r="900" spans="1:18" ht="15.75" customHeight="1">
      <c r="A900" s="602"/>
      <c r="B900" s="602"/>
      <c r="C900" s="602"/>
      <c r="D900" s="602"/>
      <c r="E900" s="602"/>
      <c r="F900" s="602"/>
      <c r="G900" s="602"/>
      <c r="H900" s="602"/>
      <c r="I900" s="602"/>
      <c r="J900" s="602"/>
      <c r="K900" s="602"/>
      <c r="L900" s="602"/>
      <c r="M900" s="602"/>
      <c r="N900" s="602"/>
      <c r="O900" s="602"/>
      <c r="P900" s="602"/>
      <c r="Q900" s="602"/>
      <c r="R900" s="602"/>
    </row>
    <row r="901" spans="1:18" ht="15.75" customHeight="1">
      <c r="A901" s="602"/>
      <c r="B901" s="602"/>
      <c r="C901" s="602"/>
      <c r="D901" s="602"/>
      <c r="E901" s="602"/>
      <c r="F901" s="602"/>
      <c r="G901" s="602"/>
      <c r="H901" s="602"/>
      <c r="I901" s="602"/>
      <c r="J901" s="602"/>
      <c r="K901" s="602"/>
      <c r="L901" s="602"/>
      <c r="M901" s="602"/>
      <c r="N901" s="602"/>
      <c r="O901" s="602"/>
      <c r="P901" s="602"/>
      <c r="Q901" s="602"/>
      <c r="R901" s="602"/>
    </row>
    <row r="902" spans="1:18" ht="15.75" customHeight="1">
      <c r="A902" s="602"/>
      <c r="B902" s="602"/>
      <c r="C902" s="602"/>
      <c r="D902" s="602"/>
      <c r="E902" s="602"/>
      <c r="F902" s="602"/>
      <c r="G902" s="602"/>
      <c r="H902" s="602"/>
      <c r="I902" s="602"/>
      <c r="J902" s="602"/>
      <c r="K902" s="602"/>
      <c r="L902" s="602"/>
      <c r="M902" s="602"/>
      <c r="N902" s="602"/>
      <c r="O902" s="602"/>
      <c r="P902" s="602"/>
      <c r="Q902" s="602"/>
      <c r="R902" s="602"/>
    </row>
    <row r="903" spans="1:18" ht="15.75" customHeight="1">
      <c r="A903" s="602"/>
      <c r="B903" s="602"/>
      <c r="C903" s="602"/>
      <c r="D903" s="602"/>
      <c r="E903" s="602"/>
      <c r="F903" s="602"/>
      <c r="G903" s="602"/>
      <c r="H903" s="602"/>
      <c r="I903" s="602"/>
      <c r="J903" s="602"/>
      <c r="K903" s="602"/>
      <c r="L903" s="602"/>
      <c r="M903" s="602"/>
      <c r="N903" s="602"/>
      <c r="O903" s="602"/>
      <c r="P903" s="602"/>
      <c r="Q903" s="602"/>
      <c r="R903" s="602"/>
    </row>
    <row r="904" spans="1:18" ht="15.75" customHeight="1">
      <c r="A904" s="602"/>
      <c r="B904" s="602"/>
      <c r="C904" s="602"/>
      <c r="D904" s="602"/>
      <c r="E904" s="602"/>
      <c r="F904" s="602"/>
      <c r="G904" s="602"/>
      <c r="H904" s="602"/>
      <c r="I904" s="602"/>
      <c r="J904" s="602"/>
      <c r="K904" s="602"/>
      <c r="L904" s="602"/>
      <c r="M904" s="602"/>
      <c r="N904" s="602"/>
      <c r="O904" s="602"/>
      <c r="P904" s="602"/>
      <c r="Q904" s="602"/>
      <c r="R904" s="602"/>
    </row>
    <row r="905" spans="1:18" ht="15.75" customHeight="1">
      <c r="A905" s="602"/>
      <c r="B905" s="602"/>
      <c r="C905" s="602"/>
      <c r="D905" s="602"/>
      <c r="E905" s="602"/>
      <c r="F905" s="602"/>
      <c r="G905" s="602"/>
      <c r="H905" s="602"/>
      <c r="I905" s="602"/>
      <c r="J905" s="602"/>
      <c r="K905" s="602"/>
      <c r="L905" s="602"/>
      <c r="M905" s="602"/>
      <c r="N905" s="602"/>
      <c r="O905" s="602"/>
      <c r="P905" s="602"/>
      <c r="Q905" s="602"/>
      <c r="R905" s="602"/>
    </row>
    <row r="906" spans="1:18" ht="15.75" customHeight="1">
      <c r="A906" s="602"/>
      <c r="B906" s="602"/>
      <c r="C906" s="602"/>
      <c r="D906" s="602"/>
      <c r="E906" s="602"/>
      <c r="F906" s="602"/>
      <c r="G906" s="602"/>
      <c r="H906" s="602"/>
      <c r="I906" s="602"/>
      <c r="J906" s="602"/>
      <c r="K906" s="602"/>
      <c r="L906" s="602"/>
      <c r="M906" s="602"/>
      <c r="N906" s="602"/>
      <c r="O906" s="602"/>
      <c r="P906" s="602"/>
      <c r="Q906" s="602"/>
      <c r="R906" s="602"/>
    </row>
    <row r="907" spans="1:18" ht="15.75" customHeight="1">
      <c r="A907" s="602"/>
      <c r="B907" s="602"/>
      <c r="C907" s="602"/>
      <c r="D907" s="602"/>
      <c r="E907" s="602"/>
      <c r="F907" s="602"/>
      <c r="G907" s="602"/>
      <c r="H907" s="602"/>
      <c r="I907" s="602"/>
      <c r="J907" s="602"/>
      <c r="K907" s="602"/>
      <c r="L907" s="602"/>
      <c r="M907" s="602"/>
      <c r="N907" s="602"/>
      <c r="O907" s="602"/>
      <c r="P907" s="602"/>
      <c r="Q907" s="602"/>
      <c r="R907" s="602"/>
    </row>
    <row r="908" spans="1:18" ht="15.75" customHeight="1">
      <c r="A908" s="602"/>
      <c r="B908" s="602"/>
      <c r="C908" s="602"/>
      <c r="D908" s="602"/>
      <c r="E908" s="602"/>
      <c r="F908" s="602"/>
      <c r="G908" s="602"/>
      <c r="H908" s="602"/>
      <c r="I908" s="602"/>
      <c r="J908" s="602"/>
      <c r="K908" s="602"/>
      <c r="L908" s="602"/>
      <c r="M908" s="602"/>
      <c r="N908" s="602"/>
      <c r="O908" s="602"/>
      <c r="P908" s="602"/>
      <c r="Q908" s="602"/>
      <c r="R908" s="602"/>
    </row>
    <row r="909" spans="1:18" ht="15.75" customHeight="1">
      <c r="A909" s="602"/>
      <c r="B909" s="602"/>
      <c r="C909" s="602"/>
      <c r="D909" s="602"/>
      <c r="E909" s="602"/>
      <c r="F909" s="602"/>
      <c r="G909" s="602"/>
      <c r="H909" s="602"/>
      <c r="I909" s="602"/>
      <c r="J909" s="602"/>
      <c r="K909" s="602"/>
      <c r="L909" s="602"/>
      <c r="M909" s="602"/>
      <c r="N909" s="602"/>
      <c r="O909" s="602"/>
      <c r="P909" s="602"/>
      <c r="Q909" s="602"/>
      <c r="R909" s="602"/>
    </row>
    <row r="910" spans="1:18" ht="15.75" customHeight="1">
      <c r="A910" s="602"/>
      <c r="B910" s="602"/>
      <c r="C910" s="602"/>
      <c r="D910" s="602"/>
      <c r="E910" s="602"/>
      <c r="F910" s="602"/>
      <c r="G910" s="602"/>
      <c r="H910" s="602"/>
      <c r="I910" s="602"/>
      <c r="J910" s="602"/>
      <c r="K910" s="602"/>
      <c r="L910" s="602"/>
      <c r="M910" s="602"/>
      <c r="N910" s="602"/>
      <c r="O910" s="602"/>
      <c r="P910" s="602"/>
      <c r="Q910" s="602"/>
      <c r="R910" s="602"/>
    </row>
    <row r="911" spans="1:18" ht="15.75" customHeight="1">
      <c r="A911" s="602"/>
      <c r="B911" s="602"/>
      <c r="C911" s="602"/>
      <c r="D911" s="602"/>
      <c r="E911" s="602"/>
      <c r="F911" s="602"/>
      <c r="G911" s="602"/>
      <c r="H911" s="602"/>
      <c r="I911" s="602"/>
      <c r="J911" s="602"/>
      <c r="K911" s="602"/>
      <c r="L911" s="602"/>
      <c r="M911" s="602"/>
      <c r="N911" s="602"/>
      <c r="O911" s="602"/>
      <c r="P911" s="602"/>
      <c r="Q911" s="602"/>
      <c r="R911" s="602"/>
    </row>
    <row r="912" spans="1:18" ht="15.75" customHeight="1">
      <c r="A912" s="602"/>
      <c r="B912" s="602"/>
      <c r="C912" s="602"/>
      <c r="D912" s="602"/>
      <c r="E912" s="602"/>
      <c r="F912" s="602"/>
      <c r="G912" s="602"/>
      <c r="H912" s="602"/>
      <c r="I912" s="602"/>
      <c r="J912" s="602"/>
      <c r="K912" s="602"/>
      <c r="L912" s="602"/>
      <c r="M912" s="602"/>
      <c r="N912" s="602"/>
      <c r="O912" s="602"/>
      <c r="P912" s="602"/>
      <c r="Q912" s="602"/>
      <c r="R912" s="602"/>
    </row>
    <row r="913" spans="1:18" ht="15.75" customHeight="1">
      <c r="A913" s="602"/>
      <c r="B913" s="602"/>
      <c r="C913" s="602"/>
      <c r="D913" s="602"/>
      <c r="E913" s="602"/>
      <c r="F913" s="602"/>
      <c r="G913" s="602"/>
      <c r="H913" s="602"/>
      <c r="I913" s="602"/>
      <c r="J913" s="602"/>
      <c r="K913" s="602"/>
      <c r="L913" s="602"/>
      <c r="M913" s="602"/>
      <c r="N913" s="602"/>
      <c r="O913" s="602"/>
      <c r="P913" s="602"/>
      <c r="Q913" s="602"/>
      <c r="R913" s="602"/>
    </row>
    <row r="914" spans="1:18" ht="15.75" customHeight="1">
      <c r="A914" s="602"/>
      <c r="B914" s="602"/>
      <c r="C914" s="602"/>
      <c r="D914" s="602"/>
      <c r="E914" s="602"/>
      <c r="F914" s="602"/>
      <c r="G914" s="602"/>
      <c r="H914" s="602"/>
      <c r="I914" s="602"/>
      <c r="J914" s="602"/>
      <c r="K914" s="602"/>
      <c r="L914" s="602"/>
      <c r="M914" s="602"/>
      <c r="N914" s="602"/>
      <c r="O914" s="602"/>
      <c r="P914" s="602"/>
      <c r="Q914" s="602"/>
      <c r="R914" s="602"/>
    </row>
    <row r="915" spans="1:18" ht="15.75" customHeight="1">
      <c r="A915" s="602"/>
      <c r="B915" s="602"/>
      <c r="C915" s="602"/>
      <c r="D915" s="602"/>
      <c r="E915" s="602"/>
      <c r="F915" s="602"/>
      <c r="G915" s="602"/>
      <c r="H915" s="602"/>
      <c r="I915" s="602"/>
      <c r="J915" s="602"/>
      <c r="K915" s="602"/>
      <c r="L915" s="602"/>
      <c r="M915" s="602"/>
      <c r="N915" s="602"/>
      <c r="O915" s="602"/>
      <c r="P915" s="602"/>
      <c r="Q915" s="602"/>
      <c r="R915" s="602"/>
    </row>
    <row r="916" spans="1:18" ht="15.75" customHeight="1">
      <c r="A916" s="602"/>
      <c r="B916" s="602"/>
      <c r="C916" s="602"/>
      <c r="D916" s="602"/>
      <c r="E916" s="602"/>
      <c r="F916" s="602"/>
      <c r="G916" s="602"/>
      <c r="H916" s="602"/>
      <c r="I916" s="602"/>
      <c r="J916" s="602"/>
      <c r="K916" s="602"/>
      <c r="L916" s="602"/>
      <c r="M916" s="602"/>
      <c r="N916" s="602"/>
      <c r="O916" s="602"/>
      <c r="P916" s="602"/>
      <c r="Q916" s="602"/>
      <c r="R916" s="602"/>
    </row>
    <row r="917" spans="1:18" ht="15.75" customHeight="1">
      <c r="A917" s="602"/>
      <c r="B917" s="602"/>
      <c r="C917" s="602"/>
      <c r="D917" s="602"/>
      <c r="E917" s="602"/>
      <c r="F917" s="602"/>
      <c r="G917" s="602"/>
      <c r="H917" s="602"/>
      <c r="I917" s="602"/>
      <c r="J917" s="602"/>
      <c r="K917" s="602"/>
      <c r="L917" s="602"/>
      <c r="M917" s="602"/>
      <c r="N917" s="602"/>
      <c r="O917" s="602"/>
      <c r="P917" s="602"/>
      <c r="Q917" s="602"/>
      <c r="R917" s="602"/>
    </row>
    <row r="918" spans="1:18" ht="15.75" customHeight="1">
      <c r="A918" s="602"/>
      <c r="B918" s="602"/>
      <c r="C918" s="602"/>
      <c r="D918" s="602"/>
      <c r="E918" s="602"/>
      <c r="F918" s="602"/>
      <c r="G918" s="602"/>
      <c r="H918" s="602"/>
      <c r="I918" s="602"/>
      <c r="J918" s="602"/>
      <c r="K918" s="602"/>
      <c r="L918" s="602"/>
      <c r="M918" s="602"/>
      <c r="N918" s="602"/>
      <c r="O918" s="602"/>
      <c r="P918" s="602"/>
      <c r="Q918" s="602"/>
      <c r="R918" s="602"/>
    </row>
    <row r="919" spans="1:18" ht="15.75" customHeight="1">
      <c r="A919" s="602"/>
      <c r="B919" s="602"/>
      <c r="C919" s="602"/>
      <c r="D919" s="602"/>
      <c r="E919" s="602"/>
      <c r="F919" s="602"/>
      <c r="G919" s="602"/>
      <c r="H919" s="602"/>
      <c r="I919" s="602"/>
      <c r="J919" s="602"/>
      <c r="K919" s="602"/>
      <c r="L919" s="602"/>
      <c r="M919" s="602"/>
      <c r="N919" s="602"/>
      <c r="O919" s="602"/>
      <c r="P919" s="602"/>
      <c r="Q919" s="602"/>
      <c r="R919" s="602"/>
    </row>
    <row r="920" spans="1:18" ht="15.75" customHeight="1">
      <c r="A920" s="602"/>
      <c r="B920" s="602"/>
      <c r="C920" s="602"/>
      <c r="D920" s="602"/>
      <c r="E920" s="602"/>
      <c r="F920" s="602"/>
      <c r="G920" s="602"/>
      <c r="H920" s="602"/>
      <c r="I920" s="602"/>
      <c r="J920" s="602"/>
      <c r="K920" s="602"/>
      <c r="L920" s="602"/>
      <c r="M920" s="602"/>
      <c r="N920" s="602"/>
      <c r="O920" s="602"/>
      <c r="P920" s="602"/>
      <c r="Q920" s="602"/>
      <c r="R920" s="602"/>
    </row>
    <row r="921" spans="1:18" ht="15.75" customHeight="1">
      <c r="A921" s="602"/>
      <c r="B921" s="602"/>
      <c r="C921" s="602"/>
      <c r="D921" s="602"/>
      <c r="E921" s="602"/>
      <c r="F921" s="602"/>
      <c r="G921" s="602"/>
      <c r="H921" s="602"/>
      <c r="I921" s="602"/>
      <c r="J921" s="602"/>
      <c r="K921" s="602"/>
      <c r="L921" s="602"/>
      <c r="M921" s="602"/>
      <c r="N921" s="602"/>
      <c r="O921" s="602"/>
      <c r="P921" s="602"/>
      <c r="Q921" s="602"/>
      <c r="R921" s="602"/>
    </row>
    <row r="922" spans="1:18" ht="15.75" customHeight="1">
      <c r="A922" s="602"/>
      <c r="B922" s="602"/>
      <c r="C922" s="602"/>
      <c r="D922" s="602"/>
      <c r="E922" s="602"/>
      <c r="F922" s="602"/>
      <c r="G922" s="602"/>
      <c r="H922" s="602"/>
      <c r="I922" s="602"/>
      <c r="J922" s="602"/>
      <c r="K922" s="602"/>
      <c r="L922" s="602"/>
      <c r="M922" s="602"/>
      <c r="N922" s="602"/>
      <c r="O922" s="602"/>
      <c r="P922" s="602"/>
      <c r="Q922" s="602"/>
      <c r="R922" s="602"/>
    </row>
    <row r="923" spans="1:18" ht="15.75" customHeight="1">
      <c r="A923" s="602"/>
      <c r="B923" s="602"/>
      <c r="C923" s="602"/>
      <c r="D923" s="602"/>
      <c r="E923" s="602"/>
      <c r="F923" s="602"/>
      <c r="G923" s="602"/>
      <c r="H923" s="602"/>
      <c r="I923" s="602"/>
      <c r="J923" s="602"/>
      <c r="K923" s="602"/>
      <c r="L923" s="602"/>
      <c r="M923" s="602"/>
      <c r="N923" s="602"/>
      <c r="O923" s="602"/>
      <c r="P923" s="602"/>
      <c r="Q923" s="602"/>
      <c r="R923" s="602"/>
    </row>
    <row r="924" spans="1:18" ht="15.75" customHeight="1">
      <c r="A924" s="602"/>
      <c r="B924" s="602"/>
      <c r="C924" s="602"/>
      <c r="D924" s="602"/>
      <c r="E924" s="602"/>
      <c r="F924" s="602"/>
      <c r="G924" s="602"/>
      <c r="H924" s="602"/>
      <c r="I924" s="602"/>
      <c r="J924" s="602"/>
      <c r="K924" s="602"/>
      <c r="L924" s="602"/>
      <c r="M924" s="602"/>
      <c r="N924" s="602"/>
      <c r="O924" s="602"/>
      <c r="P924" s="602"/>
      <c r="Q924" s="602"/>
      <c r="R924" s="602"/>
    </row>
    <row r="925" spans="1:18" ht="15.75" customHeight="1">
      <c r="A925" s="602"/>
      <c r="B925" s="602"/>
      <c r="C925" s="602"/>
      <c r="D925" s="602"/>
      <c r="E925" s="602"/>
      <c r="F925" s="602"/>
      <c r="G925" s="602"/>
      <c r="H925" s="602"/>
      <c r="I925" s="602"/>
      <c r="J925" s="602"/>
      <c r="K925" s="602"/>
      <c r="L925" s="602"/>
      <c r="M925" s="602"/>
      <c r="N925" s="602"/>
      <c r="O925" s="602"/>
      <c r="P925" s="602"/>
      <c r="Q925" s="602"/>
      <c r="R925" s="602"/>
    </row>
    <row r="926" spans="1:18" ht="15.75" customHeight="1">
      <c r="A926" s="602"/>
      <c r="B926" s="602"/>
      <c r="C926" s="602"/>
      <c r="D926" s="602"/>
      <c r="E926" s="602"/>
      <c r="F926" s="602"/>
      <c r="G926" s="602"/>
      <c r="H926" s="602"/>
      <c r="I926" s="602"/>
      <c r="J926" s="602"/>
      <c r="K926" s="602"/>
      <c r="L926" s="602"/>
      <c r="M926" s="602"/>
      <c r="N926" s="602"/>
      <c r="O926" s="602"/>
      <c r="P926" s="602"/>
      <c r="Q926" s="602"/>
      <c r="R926" s="602"/>
    </row>
    <row r="927" spans="1:18" ht="15.75" customHeight="1">
      <c r="A927" s="602"/>
      <c r="B927" s="602"/>
      <c r="C927" s="602"/>
      <c r="D927" s="602"/>
      <c r="E927" s="602"/>
      <c r="F927" s="602"/>
      <c r="G927" s="602"/>
      <c r="H927" s="602"/>
      <c r="I927" s="602"/>
      <c r="J927" s="602"/>
      <c r="K927" s="602"/>
      <c r="L927" s="602"/>
      <c r="M927" s="602"/>
      <c r="N927" s="602"/>
      <c r="O927" s="602"/>
      <c r="P927" s="602"/>
      <c r="Q927" s="602"/>
      <c r="R927" s="602"/>
    </row>
    <row r="928" spans="1:18" ht="15.75" customHeight="1">
      <c r="A928" s="602"/>
      <c r="B928" s="602"/>
      <c r="C928" s="602"/>
      <c r="D928" s="602"/>
      <c r="E928" s="602"/>
      <c r="F928" s="602"/>
      <c r="G928" s="602"/>
      <c r="H928" s="602"/>
      <c r="I928" s="602"/>
      <c r="J928" s="602"/>
      <c r="K928" s="602"/>
      <c r="L928" s="602"/>
      <c r="M928" s="602"/>
      <c r="N928" s="602"/>
      <c r="O928" s="602"/>
      <c r="P928" s="602"/>
      <c r="Q928" s="602"/>
      <c r="R928" s="602"/>
    </row>
    <row r="929" spans="1:18" ht="15.75" customHeight="1">
      <c r="A929" s="602"/>
      <c r="B929" s="602"/>
      <c r="C929" s="602"/>
      <c r="D929" s="602"/>
      <c r="E929" s="602"/>
      <c r="F929" s="602"/>
      <c r="G929" s="602"/>
      <c r="H929" s="602"/>
      <c r="I929" s="602"/>
      <c r="J929" s="602"/>
      <c r="K929" s="602"/>
      <c r="L929" s="602"/>
      <c r="M929" s="602"/>
      <c r="N929" s="602"/>
      <c r="O929" s="602"/>
      <c r="P929" s="602"/>
      <c r="Q929" s="602"/>
      <c r="R929" s="602"/>
    </row>
    <row r="930" spans="1:18" ht="15.75" customHeight="1">
      <c r="A930" s="602"/>
      <c r="B930" s="602"/>
      <c r="C930" s="602"/>
      <c r="D930" s="602"/>
      <c r="E930" s="602"/>
      <c r="F930" s="602"/>
      <c r="G930" s="602"/>
      <c r="H930" s="602"/>
      <c r="I930" s="602"/>
      <c r="J930" s="602"/>
      <c r="K930" s="602"/>
      <c r="L930" s="602"/>
      <c r="M930" s="602"/>
      <c r="N930" s="602"/>
      <c r="O930" s="602"/>
      <c r="P930" s="602"/>
      <c r="Q930" s="602"/>
      <c r="R930" s="602"/>
    </row>
    <row r="931" spans="1:18" ht="15.75" customHeight="1">
      <c r="A931" s="602"/>
      <c r="B931" s="602"/>
      <c r="C931" s="602"/>
      <c r="D931" s="602"/>
      <c r="E931" s="602"/>
      <c r="F931" s="602"/>
      <c r="G931" s="602"/>
      <c r="H931" s="602"/>
      <c r="I931" s="602"/>
      <c r="J931" s="602"/>
      <c r="K931" s="602"/>
      <c r="L931" s="602"/>
      <c r="M931" s="602"/>
      <c r="N931" s="602"/>
      <c r="O931" s="602"/>
      <c r="P931" s="602"/>
      <c r="Q931" s="602"/>
      <c r="R931" s="602"/>
    </row>
    <row r="932" spans="1:18" ht="15.75" customHeight="1">
      <c r="A932" s="602"/>
      <c r="B932" s="602"/>
      <c r="C932" s="602"/>
      <c r="D932" s="602"/>
      <c r="E932" s="602"/>
      <c r="F932" s="602"/>
      <c r="G932" s="602"/>
      <c r="H932" s="602"/>
      <c r="I932" s="602"/>
      <c r="J932" s="602"/>
      <c r="K932" s="602"/>
      <c r="L932" s="602"/>
      <c r="M932" s="602"/>
      <c r="N932" s="602"/>
      <c r="O932" s="602"/>
      <c r="P932" s="602"/>
      <c r="Q932" s="602"/>
      <c r="R932" s="602"/>
    </row>
    <row r="933" spans="1:18" ht="15.75" customHeight="1">
      <c r="A933" s="602"/>
      <c r="B933" s="602"/>
      <c r="C933" s="602"/>
      <c r="D933" s="602"/>
      <c r="E933" s="602"/>
      <c r="F933" s="602"/>
      <c r="G933" s="602"/>
      <c r="H933" s="602"/>
      <c r="I933" s="602"/>
      <c r="J933" s="602"/>
      <c r="K933" s="602"/>
      <c r="L933" s="602"/>
      <c r="M933" s="602"/>
      <c r="N933" s="602"/>
      <c r="O933" s="602"/>
      <c r="P933" s="602"/>
      <c r="Q933" s="602"/>
      <c r="R933" s="602"/>
    </row>
    <row r="934" spans="1:18" ht="15.75" customHeight="1">
      <c r="A934" s="602"/>
      <c r="B934" s="602"/>
      <c r="C934" s="602"/>
      <c r="D934" s="602"/>
      <c r="E934" s="602"/>
      <c r="F934" s="602"/>
      <c r="G934" s="602"/>
      <c r="H934" s="602"/>
      <c r="I934" s="602"/>
      <c r="J934" s="602"/>
      <c r="K934" s="602"/>
      <c r="L934" s="602"/>
      <c r="M934" s="602"/>
      <c r="N934" s="602"/>
      <c r="O934" s="602"/>
      <c r="P934" s="602"/>
      <c r="Q934" s="602"/>
      <c r="R934" s="602"/>
    </row>
    <row r="935" spans="1:18" ht="15.75" customHeight="1">
      <c r="A935" s="602"/>
      <c r="B935" s="602"/>
      <c r="C935" s="602"/>
      <c r="D935" s="602"/>
      <c r="E935" s="602"/>
      <c r="F935" s="602"/>
      <c r="G935" s="602"/>
      <c r="H935" s="602"/>
      <c r="I935" s="602"/>
      <c r="J935" s="602"/>
      <c r="K935" s="602"/>
      <c r="L935" s="602"/>
      <c r="M935" s="602"/>
      <c r="N935" s="602"/>
      <c r="O935" s="602"/>
      <c r="P935" s="602"/>
      <c r="Q935" s="602"/>
      <c r="R935" s="602"/>
    </row>
    <row r="936" spans="1:18" ht="15.75" customHeight="1">
      <c r="A936" s="602"/>
      <c r="B936" s="602"/>
      <c r="C936" s="602"/>
      <c r="D936" s="602"/>
      <c r="E936" s="602"/>
      <c r="F936" s="602"/>
      <c r="G936" s="602"/>
      <c r="H936" s="602"/>
      <c r="I936" s="602"/>
      <c r="J936" s="602"/>
      <c r="K936" s="602"/>
      <c r="L936" s="602"/>
      <c r="M936" s="602"/>
      <c r="N936" s="602"/>
      <c r="O936" s="602"/>
      <c r="P936" s="602"/>
      <c r="Q936" s="602"/>
      <c r="R936" s="602"/>
    </row>
    <row r="937" spans="1:18" ht="15.75" customHeight="1">
      <c r="A937" s="602"/>
      <c r="B937" s="602"/>
      <c r="C937" s="602"/>
      <c r="D937" s="602"/>
      <c r="E937" s="602"/>
      <c r="F937" s="602"/>
      <c r="G937" s="602"/>
      <c r="H937" s="602"/>
      <c r="I937" s="602"/>
      <c r="J937" s="602"/>
      <c r="K937" s="602"/>
      <c r="L937" s="602"/>
      <c r="M937" s="602"/>
      <c r="N937" s="602"/>
      <c r="O937" s="602"/>
      <c r="P937" s="602"/>
      <c r="Q937" s="602"/>
      <c r="R937" s="602"/>
    </row>
    <row r="938" spans="1:18" ht="15.75" customHeight="1">
      <c r="A938" s="602"/>
      <c r="B938" s="602"/>
      <c r="C938" s="602"/>
      <c r="D938" s="602"/>
      <c r="E938" s="602"/>
      <c r="F938" s="602"/>
      <c r="G938" s="602"/>
      <c r="H938" s="602"/>
      <c r="I938" s="602"/>
      <c r="J938" s="602"/>
      <c r="K938" s="602"/>
      <c r="L938" s="602"/>
      <c r="M938" s="602"/>
      <c r="N938" s="602"/>
      <c r="O938" s="602"/>
      <c r="P938" s="602"/>
      <c r="Q938" s="602"/>
      <c r="R938" s="602"/>
    </row>
    <row r="939" spans="1:18" ht="15.75" customHeight="1">
      <c r="A939" s="602"/>
      <c r="B939" s="602"/>
      <c r="C939" s="602"/>
      <c r="D939" s="602"/>
      <c r="E939" s="602"/>
      <c r="F939" s="602"/>
      <c r="G939" s="602"/>
      <c r="H939" s="602"/>
      <c r="I939" s="602"/>
      <c r="J939" s="602"/>
      <c r="K939" s="602"/>
      <c r="L939" s="602"/>
      <c r="M939" s="602"/>
      <c r="N939" s="602"/>
      <c r="O939" s="602"/>
      <c r="P939" s="602"/>
      <c r="Q939" s="602"/>
      <c r="R939" s="602"/>
    </row>
    <row r="940" spans="1:18" ht="15.75" customHeight="1">
      <c r="A940" s="602"/>
      <c r="B940" s="602"/>
      <c r="C940" s="602"/>
      <c r="D940" s="602"/>
      <c r="E940" s="602"/>
      <c r="F940" s="602"/>
      <c r="G940" s="602"/>
      <c r="H940" s="602"/>
      <c r="I940" s="602"/>
      <c r="J940" s="602"/>
      <c r="K940" s="602"/>
      <c r="L940" s="602"/>
      <c r="M940" s="602"/>
      <c r="N940" s="602"/>
      <c r="O940" s="602"/>
      <c r="P940" s="602"/>
      <c r="Q940" s="602"/>
      <c r="R940" s="602"/>
    </row>
    <row r="941" spans="1:18" ht="15.75" customHeight="1">
      <c r="A941" s="602"/>
      <c r="B941" s="602"/>
      <c r="C941" s="602"/>
      <c r="D941" s="602"/>
      <c r="E941" s="602"/>
      <c r="F941" s="602"/>
      <c r="G941" s="602"/>
      <c r="H941" s="602"/>
      <c r="I941" s="602"/>
      <c r="J941" s="602"/>
      <c r="K941" s="602"/>
      <c r="L941" s="602"/>
      <c r="M941" s="602"/>
      <c r="N941" s="602"/>
      <c r="O941" s="602"/>
      <c r="P941" s="602"/>
      <c r="Q941" s="602"/>
      <c r="R941" s="602"/>
    </row>
    <row r="942" spans="1:18" ht="15.75" customHeight="1">
      <c r="A942" s="602"/>
      <c r="B942" s="602"/>
      <c r="C942" s="602"/>
      <c r="D942" s="602"/>
      <c r="E942" s="602"/>
      <c r="F942" s="602"/>
      <c r="G942" s="602"/>
      <c r="H942" s="602"/>
      <c r="I942" s="602"/>
      <c r="J942" s="602"/>
      <c r="K942" s="602"/>
      <c r="L942" s="602"/>
      <c r="M942" s="602"/>
      <c r="N942" s="602"/>
      <c r="O942" s="602"/>
      <c r="P942" s="602"/>
      <c r="Q942" s="602"/>
      <c r="R942" s="602"/>
    </row>
    <row r="943" spans="1:18" ht="15.75" customHeight="1">
      <c r="A943" s="602"/>
      <c r="B943" s="602"/>
      <c r="C943" s="602"/>
      <c r="D943" s="602"/>
      <c r="E943" s="602"/>
      <c r="F943" s="602"/>
      <c r="G943" s="602"/>
      <c r="H943" s="602"/>
      <c r="I943" s="602"/>
      <c r="J943" s="602"/>
      <c r="K943" s="602"/>
      <c r="L943" s="602"/>
      <c r="M943" s="602"/>
      <c r="N943" s="602"/>
      <c r="O943" s="602"/>
      <c r="P943" s="602"/>
      <c r="Q943" s="602"/>
      <c r="R943" s="602"/>
    </row>
    <row r="944" spans="1:18" ht="15.75" customHeight="1">
      <c r="A944" s="602"/>
      <c r="B944" s="602"/>
      <c r="C944" s="602"/>
      <c r="D944" s="602"/>
      <c r="E944" s="602"/>
      <c r="F944" s="602"/>
      <c r="G944" s="602"/>
      <c r="H944" s="602"/>
      <c r="I944" s="602"/>
      <c r="J944" s="602"/>
      <c r="K944" s="602"/>
      <c r="L944" s="602"/>
      <c r="M944" s="602"/>
      <c r="N944" s="602"/>
      <c r="O944" s="602"/>
      <c r="P944" s="602"/>
      <c r="Q944" s="602"/>
      <c r="R944" s="602"/>
    </row>
    <row r="945" spans="1:18" ht="15.75" customHeight="1">
      <c r="A945" s="602"/>
      <c r="B945" s="602"/>
      <c r="C945" s="602"/>
      <c r="D945" s="602"/>
      <c r="E945" s="602"/>
      <c r="F945" s="602"/>
      <c r="G945" s="602"/>
      <c r="H945" s="602"/>
      <c r="I945" s="602"/>
      <c r="J945" s="602"/>
      <c r="K945" s="602"/>
      <c r="L945" s="602"/>
      <c r="M945" s="602"/>
      <c r="N945" s="602"/>
      <c r="O945" s="602"/>
      <c r="P945" s="602"/>
      <c r="Q945" s="602"/>
      <c r="R945" s="602"/>
    </row>
    <row r="946" spans="1:18" ht="15.75" customHeight="1">
      <c r="A946" s="602"/>
      <c r="B946" s="602"/>
      <c r="C946" s="602"/>
      <c r="D946" s="602"/>
      <c r="E946" s="602"/>
      <c r="F946" s="602"/>
      <c r="G946" s="602"/>
      <c r="H946" s="602"/>
      <c r="I946" s="602"/>
      <c r="J946" s="602"/>
      <c r="K946" s="602"/>
      <c r="L946" s="602"/>
      <c r="M946" s="602"/>
      <c r="N946" s="602"/>
      <c r="O946" s="602"/>
      <c r="P946" s="602"/>
      <c r="Q946" s="602"/>
      <c r="R946" s="602"/>
    </row>
    <row r="947" spans="1:18" ht="15.75" customHeight="1">
      <c r="A947" s="602"/>
      <c r="B947" s="602"/>
      <c r="C947" s="602"/>
      <c r="D947" s="602"/>
      <c r="E947" s="602"/>
      <c r="F947" s="602"/>
      <c r="G947" s="602"/>
      <c r="H947" s="602"/>
      <c r="I947" s="602"/>
      <c r="J947" s="602"/>
      <c r="K947" s="602"/>
      <c r="L947" s="602"/>
      <c r="M947" s="602"/>
      <c r="N947" s="602"/>
      <c r="O947" s="602"/>
      <c r="P947" s="602"/>
      <c r="Q947" s="602"/>
      <c r="R947" s="602"/>
    </row>
    <row r="948" spans="1:18" ht="15.75" customHeight="1">
      <c r="A948" s="602"/>
      <c r="B948" s="602"/>
      <c r="C948" s="602"/>
      <c r="D948" s="602"/>
      <c r="E948" s="602"/>
      <c r="F948" s="602"/>
      <c r="G948" s="602"/>
      <c r="H948" s="602"/>
      <c r="I948" s="602"/>
      <c r="J948" s="602"/>
      <c r="K948" s="602"/>
      <c r="L948" s="602"/>
      <c r="M948" s="602"/>
      <c r="N948" s="602"/>
      <c r="O948" s="602"/>
      <c r="P948" s="602"/>
      <c r="Q948" s="602"/>
      <c r="R948" s="602"/>
    </row>
    <row r="949" spans="1:18" ht="15.75" customHeight="1">
      <c r="A949" s="602"/>
      <c r="B949" s="602"/>
      <c r="C949" s="602"/>
      <c r="D949" s="602"/>
      <c r="E949" s="602"/>
      <c r="F949" s="602"/>
      <c r="G949" s="602"/>
      <c r="H949" s="602"/>
      <c r="I949" s="602"/>
      <c r="J949" s="602"/>
      <c r="K949" s="602"/>
      <c r="L949" s="602"/>
      <c r="M949" s="602"/>
      <c r="N949" s="602"/>
      <c r="O949" s="602"/>
      <c r="P949" s="602"/>
      <c r="Q949" s="602"/>
      <c r="R949" s="602"/>
    </row>
    <row r="950" spans="1:18" ht="15.75" customHeight="1">
      <c r="A950" s="602"/>
      <c r="B950" s="602"/>
      <c r="C950" s="602"/>
      <c r="D950" s="602"/>
      <c r="E950" s="602"/>
      <c r="F950" s="602"/>
      <c r="G950" s="602"/>
      <c r="H950" s="602"/>
      <c r="I950" s="602"/>
      <c r="J950" s="602"/>
      <c r="K950" s="602"/>
      <c r="L950" s="602"/>
      <c r="M950" s="602"/>
      <c r="N950" s="602"/>
      <c r="O950" s="602"/>
      <c r="P950" s="602"/>
      <c r="Q950" s="602"/>
      <c r="R950" s="602"/>
    </row>
    <row r="951" spans="1:18" ht="15.75" customHeight="1">
      <c r="A951" s="602"/>
      <c r="B951" s="602"/>
      <c r="C951" s="602"/>
      <c r="D951" s="602"/>
      <c r="E951" s="602"/>
      <c r="F951" s="602"/>
      <c r="G951" s="602"/>
      <c r="H951" s="602"/>
      <c r="I951" s="602"/>
      <c r="J951" s="602"/>
      <c r="K951" s="602"/>
      <c r="L951" s="602"/>
      <c r="M951" s="602"/>
      <c r="N951" s="602"/>
      <c r="O951" s="602"/>
      <c r="P951" s="602"/>
      <c r="Q951" s="602"/>
      <c r="R951" s="602"/>
    </row>
    <row r="952" spans="1:18" ht="15.75" customHeight="1">
      <c r="A952" s="602"/>
      <c r="B952" s="602"/>
      <c r="C952" s="602"/>
      <c r="D952" s="602"/>
      <c r="E952" s="602"/>
      <c r="F952" s="602"/>
      <c r="G952" s="602"/>
      <c r="H952" s="602"/>
      <c r="I952" s="602"/>
      <c r="J952" s="602"/>
      <c r="K952" s="602"/>
      <c r="L952" s="602"/>
      <c r="M952" s="602"/>
      <c r="N952" s="602"/>
      <c r="O952" s="602"/>
      <c r="P952" s="602"/>
      <c r="Q952" s="602"/>
      <c r="R952" s="602"/>
    </row>
    <row r="953" spans="1:18" ht="15.75" customHeight="1">
      <c r="A953" s="602"/>
      <c r="B953" s="602"/>
      <c r="C953" s="602"/>
      <c r="D953" s="602"/>
      <c r="E953" s="602"/>
      <c r="F953" s="602"/>
      <c r="G953" s="602"/>
      <c r="H953" s="602"/>
      <c r="I953" s="602"/>
      <c r="J953" s="602"/>
      <c r="K953" s="602"/>
      <c r="L953" s="602"/>
      <c r="M953" s="602"/>
      <c r="N953" s="602"/>
      <c r="O953" s="602"/>
      <c r="P953" s="602"/>
      <c r="Q953" s="602"/>
      <c r="R953" s="602"/>
    </row>
    <row r="954" spans="1:18" ht="15.75" customHeight="1">
      <c r="A954" s="602"/>
      <c r="B954" s="602"/>
      <c r="C954" s="602"/>
      <c r="D954" s="602"/>
      <c r="E954" s="602"/>
      <c r="F954" s="602"/>
      <c r="G954" s="602"/>
      <c r="H954" s="602"/>
      <c r="I954" s="602"/>
      <c r="J954" s="602"/>
      <c r="K954" s="602"/>
      <c r="L954" s="602"/>
      <c r="M954" s="602"/>
      <c r="N954" s="602"/>
      <c r="O954" s="602"/>
      <c r="P954" s="602"/>
      <c r="Q954" s="602"/>
      <c r="R954" s="602"/>
    </row>
    <row r="955" spans="1:18" ht="15.75" customHeight="1">
      <c r="A955" s="602"/>
      <c r="B955" s="602"/>
      <c r="C955" s="602"/>
      <c r="D955" s="602"/>
      <c r="E955" s="602"/>
      <c r="F955" s="602"/>
      <c r="G955" s="602"/>
      <c r="H955" s="602"/>
      <c r="I955" s="602"/>
      <c r="J955" s="602"/>
      <c r="K955" s="602"/>
      <c r="L955" s="602"/>
      <c r="M955" s="602"/>
      <c r="N955" s="602"/>
      <c r="O955" s="602"/>
      <c r="P955" s="602"/>
      <c r="Q955" s="602"/>
      <c r="R955" s="602"/>
    </row>
    <row r="956" spans="1:18" ht="15.75" customHeight="1">
      <c r="A956" s="602"/>
      <c r="B956" s="602"/>
      <c r="C956" s="602"/>
      <c r="D956" s="602"/>
      <c r="E956" s="602"/>
      <c r="F956" s="602"/>
      <c r="G956" s="602"/>
      <c r="H956" s="602"/>
      <c r="I956" s="602"/>
      <c r="J956" s="602"/>
      <c r="K956" s="602"/>
      <c r="L956" s="602"/>
      <c r="M956" s="602"/>
      <c r="N956" s="602"/>
      <c r="O956" s="602"/>
      <c r="P956" s="602"/>
      <c r="Q956" s="602"/>
      <c r="R956" s="602"/>
    </row>
    <row r="957" spans="1:18" ht="15.75" customHeight="1">
      <c r="A957" s="602"/>
      <c r="B957" s="602"/>
      <c r="C957" s="602"/>
      <c r="D957" s="602"/>
      <c r="E957" s="602"/>
      <c r="F957" s="602"/>
      <c r="G957" s="602"/>
      <c r="H957" s="602"/>
      <c r="I957" s="602"/>
      <c r="J957" s="602"/>
      <c r="K957" s="602"/>
      <c r="L957" s="602"/>
      <c r="M957" s="602"/>
      <c r="N957" s="602"/>
      <c r="O957" s="602"/>
      <c r="P957" s="602"/>
      <c r="Q957" s="602"/>
      <c r="R957" s="602"/>
    </row>
    <row r="958" spans="1:18" ht="15.75" customHeight="1">
      <c r="A958" s="602"/>
      <c r="B958" s="602"/>
      <c r="C958" s="602"/>
      <c r="D958" s="602"/>
      <c r="E958" s="602"/>
      <c r="F958" s="602"/>
      <c r="G958" s="602"/>
      <c r="H958" s="602"/>
      <c r="I958" s="602"/>
      <c r="J958" s="602"/>
      <c r="K958" s="602"/>
      <c r="L958" s="602"/>
      <c r="M958" s="602"/>
      <c r="N958" s="602"/>
      <c r="O958" s="602"/>
      <c r="P958" s="602"/>
      <c r="Q958" s="602"/>
      <c r="R958" s="602"/>
    </row>
    <row r="959" spans="1:18" ht="15.75" customHeight="1">
      <c r="A959" s="602"/>
      <c r="B959" s="602"/>
      <c r="C959" s="602"/>
      <c r="D959" s="602"/>
      <c r="E959" s="602"/>
      <c r="F959" s="602"/>
      <c r="G959" s="602"/>
      <c r="H959" s="602"/>
      <c r="I959" s="602"/>
      <c r="J959" s="602"/>
      <c r="K959" s="602"/>
      <c r="L959" s="602"/>
      <c r="M959" s="602"/>
      <c r="N959" s="602"/>
      <c r="O959" s="602"/>
      <c r="P959" s="602"/>
      <c r="Q959" s="602"/>
      <c r="R959" s="602"/>
    </row>
    <row r="960" spans="1:18" ht="15.75" customHeight="1">
      <c r="A960" s="602"/>
      <c r="B960" s="602"/>
      <c r="C960" s="602"/>
      <c r="D960" s="602"/>
      <c r="E960" s="602"/>
      <c r="F960" s="602"/>
      <c r="G960" s="602"/>
      <c r="H960" s="602"/>
      <c r="I960" s="602"/>
      <c r="J960" s="602"/>
      <c r="K960" s="602"/>
      <c r="L960" s="602"/>
      <c r="M960" s="602"/>
      <c r="N960" s="602"/>
      <c r="O960" s="602"/>
      <c r="P960" s="602"/>
      <c r="Q960" s="602"/>
      <c r="R960" s="602"/>
    </row>
    <row r="961" spans="1:18" ht="15.75" customHeight="1">
      <c r="A961" s="602"/>
      <c r="B961" s="602"/>
      <c r="C961" s="602"/>
      <c r="D961" s="602"/>
      <c r="E961" s="602"/>
      <c r="F961" s="602"/>
      <c r="G961" s="602"/>
      <c r="H961" s="602"/>
      <c r="I961" s="602"/>
      <c r="J961" s="602"/>
      <c r="K961" s="602"/>
      <c r="L961" s="602"/>
      <c r="M961" s="602"/>
      <c r="N961" s="602"/>
      <c r="O961" s="602"/>
      <c r="P961" s="602"/>
      <c r="Q961" s="602"/>
      <c r="R961" s="602"/>
    </row>
    <row r="962" spans="1:18" ht="15.75" customHeight="1">
      <c r="A962" s="602"/>
      <c r="B962" s="602"/>
      <c r="C962" s="602"/>
      <c r="D962" s="602"/>
      <c r="E962" s="602"/>
      <c r="F962" s="602"/>
      <c r="G962" s="602"/>
      <c r="H962" s="602"/>
      <c r="I962" s="602"/>
      <c r="J962" s="602"/>
      <c r="K962" s="602"/>
      <c r="L962" s="602"/>
      <c r="M962" s="602"/>
      <c r="N962" s="602"/>
      <c r="O962" s="602"/>
      <c r="P962" s="602"/>
      <c r="Q962" s="602"/>
      <c r="R962" s="602"/>
    </row>
    <row r="963" spans="1:18" ht="15.75" customHeight="1">
      <c r="A963" s="602"/>
      <c r="B963" s="602"/>
      <c r="C963" s="602"/>
      <c r="D963" s="602"/>
      <c r="E963" s="602"/>
      <c r="F963" s="602"/>
      <c r="G963" s="602"/>
      <c r="H963" s="602"/>
      <c r="I963" s="602"/>
      <c r="J963" s="602"/>
      <c r="K963" s="602"/>
      <c r="L963" s="602"/>
      <c r="M963" s="602"/>
      <c r="N963" s="602"/>
      <c r="O963" s="602"/>
      <c r="P963" s="602"/>
      <c r="Q963" s="602"/>
      <c r="R963" s="602"/>
    </row>
    <row r="964" spans="1:18" ht="15.75" customHeight="1">
      <c r="A964" s="602"/>
      <c r="B964" s="602"/>
      <c r="C964" s="602"/>
      <c r="D964" s="602"/>
      <c r="E964" s="602"/>
      <c r="F964" s="602"/>
      <c r="G964" s="602"/>
      <c r="H964" s="602"/>
      <c r="I964" s="602"/>
      <c r="J964" s="602"/>
      <c r="K964" s="602"/>
      <c r="L964" s="602"/>
      <c r="M964" s="602"/>
      <c r="N964" s="602"/>
      <c r="O964" s="602"/>
      <c r="P964" s="602"/>
      <c r="Q964" s="602"/>
      <c r="R964" s="602"/>
    </row>
    <row r="965" spans="1:18" ht="15.75" customHeight="1">
      <c r="A965" s="602"/>
      <c r="B965" s="602"/>
      <c r="C965" s="602"/>
      <c r="D965" s="602"/>
      <c r="E965" s="602"/>
      <c r="F965" s="602"/>
      <c r="G965" s="602"/>
      <c r="H965" s="602"/>
      <c r="I965" s="602"/>
      <c r="J965" s="602"/>
      <c r="K965" s="602"/>
      <c r="L965" s="602"/>
      <c r="M965" s="602"/>
      <c r="N965" s="602"/>
      <c r="O965" s="602"/>
      <c r="P965" s="602"/>
      <c r="Q965" s="602"/>
      <c r="R965" s="602"/>
    </row>
    <row r="966" spans="1:18" ht="15.75" customHeight="1">
      <c r="A966" s="602"/>
      <c r="B966" s="602"/>
      <c r="C966" s="602"/>
      <c r="D966" s="602"/>
      <c r="E966" s="602"/>
      <c r="F966" s="602"/>
      <c r="G966" s="602"/>
      <c r="H966" s="602"/>
      <c r="I966" s="602"/>
      <c r="J966" s="602"/>
      <c r="K966" s="602"/>
      <c r="L966" s="602"/>
      <c r="M966" s="602"/>
      <c r="N966" s="602"/>
      <c r="O966" s="602"/>
      <c r="P966" s="602"/>
      <c r="Q966" s="602"/>
      <c r="R966" s="602"/>
    </row>
    <row r="967" spans="1:18" ht="15.75" customHeight="1">
      <c r="A967" s="602"/>
      <c r="B967" s="602"/>
      <c r="C967" s="602"/>
      <c r="D967" s="602"/>
      <c r="E967" s="602"/>
      <c r="F967" s="602"/>
      <c r="G967" s="602"/>
      <c r="H967" s="602"/>
      <c r="I967" s="602"/>
      <c r="J967" s="602"/>
      <c r="K967" s="602"/>
      <c r="L967" s="602"/>
      <c r="M967" s="602"/>
      <c r="N967" s="602"/>
      <c r="O967" s="602"/>
      <c r="P967" s="602"/>
      <c r="Q967" s="602"/>
      <c r="R967" s="602"/>
    </row>
    <row r="968" spans="1:18" ht="15.75" customHeight="1">
      <c r="A968" s="602"/>
      <c r="B968" s="602"/>
      <c r="C968" s="602"/>
      <c r="D968" s="602"/>
      <c r="E968" s="602"/>
      <c r="F968" s="602"/>
      <c r="G968" s="602"/>
      <c r="H968" s="602"/>
      <c r="I968" s="602"/>
      <c r="J968" s="602"/>
      <c r="K968" s="602"/>
      <c r="L968" s="602"/>
      <c r="M968" s="602"/>
      <c r="N968" s="602"/>
      <c r="O968" s="602"/>
      <c r="P968" s="602"/>
      <c r="Q968" s="602"/>
      <c r="R968" s="602"/>
    </row>
    <row r="969" spans="1:18" ht="15.75" customHeight="1">
      <c r="A969" s="602"/>
      <c r="B969" s="602"/>
      <c r="C969" s="602"/>
      <c r="D969" s="602"/>
      <c r="E969" s="602"/>
      <c r="F969" s="602"/>
      <c r="G969" s="602"/>
      <c r="H969" s="602"/>
      <c r="I969" s="602"/>
      <c r="J969" s="602"/>
      <c r="K969" s="602"/>
      <c r="L969" s="602"/>
      <c r="M969" s="602"/>
      <c r="N969" s="602"/>
      <c r="O969" s="602"/>
      <c r="P969" s="602"/>
      <c r="Q969" s="602"/>
      <c r="R969" s="602"/>
    </row>
    <row r="970" spans="1:18" ht="15.75" customHeight="1">
      <c r="A970" s="602"/>
      <c r="B970" s="602"/>
      <c r="C970" s="602"/>
      <c r="D970" s="602"/>
      <c r="E970" s="602"/>
      <c r="F970" s="602"/>
      <c r="G970" s="602"/>
      <c r="H970" s="602"/>
      <c r="I970" s="602"/>
      <c r="J970" s="602"/>
      <c r="K970" s="602"/>
      <c r="L970" s="602"/>
      <c r="M970" s="602"/>
      <c r="N970" s="602"/>
      <c r="O970" s="602"/>
      <c r="P970" s="602"/>
      <c r="Q970" s="602"/>
      <c r="R970" s="602"/>
    </row>
    <row r="971" spans="1:18" ht="15.75" customHeight="1">
      <c r="A971" s="602"/>
      <c r="B971" s="602"/>
      <c r="C971" s="602"/>
      <c r="D971" s="602"/>
      <c r="E971" s="602"/>
      <c r="F971" s="602"/>
      <c r="G971" s="602"/>
      <c r="H971" s="602"/>
      <c r="I971" s="602"/>
      <c r="J971" s="602"/>
      <c r="K971" s="602"/>
      <c r="L971" s="602"/>
      <c r="M971" s="602"/>
      <c r="N971" s="602"/>
      <c r="O971" s="602"/>
      <c r="P971" s="602"/>
      <c r="Q971" s="602"/>
      <c r="R971" s="602"/>
    </row>
    <row r="972" spans="1:18" ht="15.75" customHeight="1">
      <c r="A972" s="602"/>
      <c r="B972" s="602"/>
      <c r="C972" s="602"/>
      <c r="D972" s="602"/>
      <c r="E972" s="602"/>
      <c r="F972" s="602"/>
      <c r="G972" s="602"/>
      <c r="H972" s="602"/>
      <c r="I972" s="602"/>
      <c r="J972" s="602"/>
      <c r="K972" s="602"/>
      <c r="L972" s="602"/>
      <c r="M972" s="602"/>
      <c r="N972" s="602"/>
      <c r="O972" s="602"/>
      <c r="P972" s="602"/>
      <c r="Q972" s="602"/>
      <c r="R972" s="602"/>
    </row>
    <row r="973" spans="1:18" ht="15.75" customHeight="1">
      <c r="A973" s="602"/>
      <c r="B973" s="602"/>
      <c r="C973" s="602"/>
      <c r="D973" s="602"/>
      <c r="E973" s="602"/>
      <c r="F973" s="602"/>
      <c r="G973" s="602"/>
      <c r="H973" s="602"/>
      <c r="I973" s="602"/>
      <c r="J973" s="602"/>
      <c r="K973" s="602"/>
      <c r="L973" s="602"/>
      <c r="M973" s="602"/>
      <c r="N973" s="602"/>
      <c r="O973" s="602"/>
      <c r="P973" s="602"/>
      <c r="Q973" s="602"/>
      <c r="R973" s="602"/>
    </row>
    <row r="974" spans="1:18" ht="15.75" customHeight="1">
      <c r="A974" s="602"/>
      <c r="B974" s="602"/>
      <c r="C974" s="602"/>
      <c r="D974" s="602"/>
      <c r="E974" s="602"/>
      <c r="F974" s="602"/>
      <c r="G974" s="602"/>
      <c r="H974" s="602"/>
      <c r="I974" s="602"/>
      <c r="J974" s="602"/>
      <c r="K974" s="602"/>
      <c r="L974" s="602"/>
      <c r="M974" s="602"/>
      <c r="N974" s="602"/>
      <c r="O974" s="602"/>
      <c r="P974" s="602"/>
      <c r="Q974" s="602"/>
      <c r="R974" s="602"/>
    </row>
    <row r="975" spans="1:18" ht="15.75" customHeight="1">
      <c r="A975" s="602"/>
      <c r="B975" s="602"/>
      <c r="C975" s="602"/>
      <c r="D975" s="602"/>
      <c r="E975" s="602"/>
      <c r="F975" s="602"/>
      <c r="G975" s="602"/>
      <c r="H975" s="602"/>
      <c r="I975" s="602"/>
      <c r="J975" s="602"/>
      <c r="K975" s="602"/>
      <c r="L975" s="602"/>
      <c r="M975" s="602"/>
      <c r="N975" s="602"/>
      <c r="O975" s="602"/>
      <c r="P975" s="602"/>
      <c r="Q975" s="602"/>
      <c r="R975" s="602"/>
    </row>
    <row r="976" spans="1:18" ht="15.75" customHeight="1">
      <c r="A976" s="602"/>
      <c r="B976" s="602"/>
      <c r="C976" s="602"/>
      <c r="D976" s="602"/>
      <c r="E976" s="602"/>
      <c r="F976" s="602"/>
      <c r="G976" s="602"/>
      <c r="H976" s="602"/>
      <c r="I976" s="602"/>
      <c r="J976" s="602"/>
      <c r="K976" s="602"/>
      <c r="L976" s="602"/>
      <c r="M976" s="602"/>
      <c r="N976" s="602"/>
      <c r="O976" s="602"/>
      <c r="P976" s="602"/>
      <c r="Q976" s="602"/>
      <c r="R976" s="602"/>
    </row>
    <row r="977" spans="1:18" ht="15.75" customHeight="1">
      <c r="A977" s="602"/>
      <c r="B977" s="602"/>
      <c r="C977" s="602"/>
      <c r="D977" s="602"/>
      <c r="E977" s="602"/>
      <c r="F977" s="602"/>
      <c r="G977" s="602"/>
      <c r="H977" s="602"/>
      <c r="I977" s="602"/>
      <c r="J977" s="602"/>
      <c r="K977" s="602"/>
      <c r="L977" s="602"/>
      <c r="M977" s="602"/>
      <c r="N977" s="602"/>
      <c r="O977" s="602"/>
      <c r="P977" s="602"/>
      <c r="Q977" s="602"/>
      <c r="R977" s="602"/>
    </row>
    <row r="978" spans="1:18" ht="15.75" customHeight="1">
      <c r="A978" s="602"/>
      <c r="B978" s="602"/>
      <c r="C978" s="602"/>
      <c r="D978" s="602"/>
      <c r="E978" s="602"/>
      <c r="F978" s="602"/>
      <c r="G978" s="602"/>
      <c r="H978" s="602"/>
      <c r="I978" s="602"/>
      <c r="J978" s="602"/>
      <c r="K978" s="602"/>
      <c r="L978" s="602"/>
      <c r="M978" s="602"/>
      <c r="N978" s="602"/>
      <c r="O978" s="602"/>
      <c r="P978" s="602"/>
      <c r="Q978" s="602"/>
      <c r="R978" s="602"/>
    </row>
    <row r="979" spans="1:18" ht="15.75" customHeight="1">
      <c r="A979" s="602"/>
      <c r="B979" s="602"/>
      <c r="C979" s="602"/>
      <c r="D979" s="602"/>
      <c r="E979" s="602"/>
      <c r="F979" s="602"/>
      <c r="G979" s="602"/>
      <c r="H979" s="602"/>
      <c r="I979" s="602"/>
      <c r="J979" s="602"/>
      <c r="K979" s="602"/>
      <c r="L979" s="602"/>
      <c r="M979" s="602"/>
      <c r="N979" s="602"/>
      <c r="O979" s="602"/>
      <c r="P979" s="602"/>
      <c r="Q979" s="602"/>
      <c r="R979" s="602"/>
    </row>
    <row r="980" spans="1:18" ht="15.75" customHeight="1">
      <c r="A980" s="602"/>
      <c r="B980" s="602"/>
      <c r="C980" s="602"/>
      <c r="D980" s="602"/>
      <c r="E980" s="602"/>
      <c r="F980" s="602"/>
      <c r="G980" s="602"/>
      <c r="H980" s="602"/>
      <c r="I980" s="602"/>
      <c r="J980" s="602"/>
      <c r="K980" s="602"/>
      <c r="L980" s="602"/>
      <c r="M980" s="602"/>
      <c r="N980" s="602"/>
      <c r="O980" s="602"/>
      <c r="P980" s="602"/>
      <c r="Q980" s="602"/>
      <c r="R980" s="602"/>
    </row>
    <row r="981" spans="1:18" ht="15.75" customHeight="1">
      <c r="A981" s="602"/>
      <c r="B981" s="602"/>
      <c r="C981" s="602"/>
      <c r="D981" s="602"/>
      <c r="E981" s="602"/>
      <c r="F981" s="602"/>
      <c r="G981" s="602"/>
      <c r="H981" s="602"/>
      <c r="I981" s="602"/>
      <c r="J981" s="602"/>
      <c r="K981" s="602"/>
      <c r="L981" s="602"/>
      <c r="M981" s="602"/>
      <c r="N981" s="602"/>
      <c r="O981" s="602"/>
      <c r="P981" s="602"/>
      <c r="Q981" s="602"/>
      <c r="R981" s="602"/>
    </row>
    <row r="982" spans="1:18" ht="15.75" customHeight="1">
      <c r="A982" s="602"/>
      <c r="B982" s="602"/>
      <c r="C982" s="602"/>
      <c r="D982" s="602"/>
      <c r="E982" s="602"/>
      <c r="F982" s="602"/>
      <c r="G982" s="602"/>
      <c r="H982" s="602"/>
      <c r="I982" s="602"/>
      <c r="J982" s="602"/>
      <c r="K982" s="602"/>
      <c r="L982" s="602"/>
      <c r="M982" s="602"/>
      <c r="N982" s="602"/>
      <c r="O982" s="602"/>
      <c r="P982" s="602"/>
      <c r="Q982" s="602"/>
      <c r="R982" s="602"/>
    </row>
    <row r="983" spans="1:18" ht="15.75" customHeight="1">
      <c r="A983" s="602"/>
      <c r="B983" s="602"/>
      <c r="C983" s="602"/>
      <c r="D983" s="602"/>
      <c r="E983" s="602"/>
      <c r="F983" s="602"/>
      <c r="G983" s="602"/>
      <c r="H983" s="602"/>
      <c r="I983" s="602"/>
      <c r="J983" s="602"/>
      <c r="K983" s="602"/>
      <c r="L983" s="602"/>
      <c r="M983" s="602"/>
      <c r="N983" s="602"/>
      <c r="O983" s="602"/>
      <c r="P983" s="602"/>
      <c r="Q983" s="602"/>
      <c r="R983" s="602"/>
    </row>
    <row r="984" spans="1:18" ht="15.75" customHeight="1">
      <c r="A984" s="602"/>
      <c r="B984" s="602"/>
      <c r="C984" s="602"/>
      <c r="D984" s="602"/>
      <c r="E984" s="602"/>
      <c r="F984" s="602"/>
      <c r="G984" s="602"/>
      <c r="H984" s="602"/>
      <c r="I984" s="602"/>
      <c r="J984" s="602"/>
      <c r="K984" s="602"/>
      <c r="L984" s="602"/>
      <c r="M984" s="602"/>
      <c r="N984" s="602"/>
      <c r="O984" s="602"/>
      <c r="P984" s="602"/>
      <c r="Q984" s="602"/>
      <c r="R984" s="602"/>
    </row>
    <row r="985" spans="1:18" ht="15.75" customHeight="1">
      <c r="A985" s="602"/>
      <c r="B985" s="602"/>
      <c r="C985" s="602"/>
      <c r="D985" s="602"/>
      <c r="E985" s="602"/>
      <c r="F985" s="602"/>
      <c r="G985" s="602"/>
      <c r="H985" s="602"/>
      <c r="I985" s="602"/>
      <c r="J985" s="602"/>
      <c r="K985" s="602"/>
      <c r="L985" s="602"/>
      <c r="M985" s="602"/>
      <c r="N985" s="602"/>
      <c r="O985" s="602"/>
      <c r="P985" s="602"/>
      <c r="Q985" s="602"/>
      <c r="R985" s="602"/>
    </row>
    <row r="986" spans="1:18" ht="15.75" customHeight="1">
      <c r="A986" s="602"/>
      <c r="B986" s="602"/>
      <c r="C986" s="602"/>
      <c r="D986" s="602"/>
      <c r="E986" s="602"/>
      <c r="F986" s="602"/>
      <c r="G986" s="602"/>
      <c r="H986" s="602"/>
      <c r="I986" s="602"/>
      <c r="J986" s="602"/>
      <c r="K986" s="602"/>
      <c r="L986" s="602"/>
      <c r="M986" s="602"/>
      <c r="N986" s="602"/>
      <c r="O986" s="602"/>
      <c r="P986" s="602"/>
      <c r="Q986" s="602"/>
      <c r="R986" s="602"/>
    </row>
    <row r="987" spans="1:18" ht="15.75" customHeight="1">
      <c r="A987" s="602"/>
      <c r="B987" s="602"/>
      <c r="C987" s="602"/>
      <c r="D987" s="602"/>
      <c r="E987" s="602"/>
      <c r="F987" s="602"/>
      <c r="G987" s="602"/>
      <c r="H987" s="602"/>
      <c r="I987" s="602"/>
      <c r="J987" s="602"/>
      <c r="K987" s="602"/>
      <c r="L987" s="602"/>
      <c r="M987" s="602"/>
      <c r="N987" s="602"/>
      <c r="O987" s="602"/>
      <c r="P987" s="602"/>
      <c r="Q987" s="602"/>
      <c r="R987" s="602"/>
    </row>
    <row r="988" spans="1:18" ht="15.75" customHeight="1">
      <c r="A988" s="602"/>
      <c r="B988" s="602"/>
      <c r="C988" s="602"/>
      <c r="D988" s="602"/>
      <c r="E988" s="602"/>
      <c r="F988" s="602"/>
      <c r="G988" s="602"/>
      <c r="H988" s="602"/>
      <c r="I988" s="602"/>
      <c r="J988" s="602"/>
      <c r="K988" s="602"/>
      <c r="L988" s="602"/>
      <c r="M988" s="602"/>
      <c r="N988" s="602"/>
      <c r="O988" s="602"/>
      <c r="P988" s="602"/>
      <c r="Q988" s="602"/>
      <c r="R988" s="602"/>
    </row>
    <row r="989" spans="1:18" ht="15.75" customHeight="1">
      <c r="A989" s="602"/>
      <c r="B989" s="602"/>
      <c r="C989" s="602"/>
      <c r="D989" s="602"/>
      <c r="E989" s="602"/>
      <c r="F989" s="602"/>
      <c r="G989" s="602"/>
      <c r="H989" s="602"/>
      <c r="I989" s="602"/>
      <c r="J989" s="602"/>
      <c r="K989" s="602"/>
      <c r="L989" s="602"/>
      <c r="M989" s="602"/>
      <c r="N989" s="602"/>
      <c r="O989" s="602"/>
      <c r="P989" s="602"/>
      <c r="Q989" s="602"/>
      <c r="R989" s="602"/>
    </row>
    <row r="990" spans="1:18" ht="15.75" customHeight="1">
      <c r="A990" s="602"/>
      <c r="B990" s="602"/>
      <c r="C990" s="602"/>
      <c r="D990" s="602"/>
      <c r="E990" s="602"/>
      <c r="F990" s="602"/>
      <c r="G990" s="602"/>
      <c r="H990" s="602"/>
      <c r="I990" s="602"/>
      <c r="J990" s="602"/>
      <c r="K990" s="602"/>
      <c r="L990" s="602"/>
      <c r="M990" s="602"/>
      <c r="N990" s="602"/>
      <c r="O990" s="602"/>
      <c r="P990" s="602"/>
      <c r="Q990" s="602"/>
      <c r="R990" s="602"/>
    </row>
    <row r="991" spans="1:18" ht="15.75" customHeight="1">
      <c r="A991" s="602"/>
      <c r="B991" s="602"/>
      <c r="C991" s="602"/>
      <c r="D991" s="602"/>
      <c r="E991" s="602"/>
      <c r="F991" s="602"/>
      <c r="G991" s="602"/>
      <c r="H991" s="602"/>
      <c r="I991" s="602"/>
      <c r="J991" s="602"/>
      <c r="K991" s="602"/>
      <c r="L991" s="602"/>
      <c r="M991" s="602"/>
      <c r="N991" s="602"/>
      <c r="O991" s="602"/>
      <c r="P991" s="602"/>
      <c r="Q991" s="602"/>
      <c r="R991" s="602"/>
    </row>
    <row r="992" spans="1:18" ht="15.75" customHeight="1">
      <c r="A992" s="602"/>
      <c r="B992" s="602"/>
      <c r="C992" s="602"/>
      <c r="D992" s="602"/>
      <c r="E992" s="602"/>
      <c r="F992" s="602"/>
      <c r="G992" s="602"/>
      <c r="H992" s="602"/>
      <c r="I992" s="602"/>
      <c r="J992" s="602"/>
      <c r="K992" s="602"/>
      <c r="L992" s="602"/>
      <c r="M992" s="602"/>
      <c r="N992" s="602"/>
      <c r="O992" s="602"/>
      <c r="P992" s="602"/>
      <c r="Q992" s="602"/>
      <c r="R992" s="602"/>
    </row>
    <row r="993" spans="1:18" ht="15.75" customHeight="1">
      <c r="A993" s="602"/>
      <c r="B993" s="602"/>
      <c r="C993" s="602"/>
      <c r="D993" s="602"/>
      <c r="E993" s="602"/>
      <c r="F993" s="602"/>
      <c r="G993" s="602"/>
      <c r="H993" s="602"/>
      <c r="I993" s="602"/>
      <c r="J993" s="602"/>
      <c r="K993" s="602"/>
      <c r="L993" s="602"/>
      <c r="M993" s="602"/>
      <c r="N993" s="602"/>
      <c r="O993" s="602"/>
      <c r="P993" s="602"/>
      <c r="Q993" s="602"/>
      <c r="R993" s="602"/>
    </row>
    <row r="994" spans="1:18" ht="15.75" customHeight="1">
      <c r="A994" s="602"/>
      <c r="B994" s="602"/>
      <c r="C994" s="602"/>
      <c r="D994" s="602"/>
      <c r="E994" s="602"/>
      <c r="F994" s="602"/>
      <c r="G994" s="602"/>
      <c r="H994" s="602"/>
      <c r="I994" s="602"/>
      <c r="J994" s="602"/>
      <c r="K994" s="602"/>
      <c r="L994" s="602"/>
      <c r="M994" s="602"/>
      <c r="N994" s="602"/>
      <c r="O994" s="602"/>
      <c r="P994" s="602"/>
      <c r="Q994" s="602"/>
      <c r="R994" s="602"/>
    </row>
    <row r="995" spans="1:18" ht="15.75" customHeight="1">
      <c r="A995" s="602"/>
      <c r="B995" s="602"/>
      <c r="C995" s="602"/>
      <c r="D995" s="602"/>
      <c r="E995" s="602"/>
      <c r="F995" s="602"/>
      <c r="G995" s="602"/>
      <c r="H995" s="602"/>
      <c r="I995" s="602"/>
      <c r="J995" s="602"/>
      <c r="K995" s="602"/>
      <c r="L995" s="602"/>
      <c r="M995" s="602"/>
      <c r="N995" s="602"/>
      <c r="O995" s="602"/>
      <c r="P995" s="602"/>
      <c r="Q995" s="602"/>
      <c r="R995" s="602"/>
    </row>
    <row r="996" spans="1:18" ht="15.75" customHeight="1">
      <c r="A996" s="602"/>
      <c r="B996" s="602"/>
      <c r="C996" s="602"/>
      <c r="D996" s="602"/>
      <c r="E996" s="602"/>
      <c r="F996" s="602"/>
      <c r="G996" s="602"/>
      <c r="H996" s="602"/>
      <c r="I996" s="602"/>
      <c r="J996" s="602"/>
      <c r="K996" s="602"/>
      <c r="L996" s="602"/>
      <c r="M996" s="602"/>
      <c r="N996" s="602"/>
      <c r="O996" s="602"/>
      <c r="P996" s="602"/>
      <c r="Q996" s="602"/>
      <c r="R996" s="602"/>
    </row>
    <row r="997" spans="1:18" ht="15.75" customHeight="1">
      <c r="A997" s="602"/>
      <c r="B997" s="602"/>
      <c r="C997" s="602"/>
      <c r="D997" s="602"/>
      <c r="E997" s="602"/>
      <c r="F997" s="602"/>
      <c r="G997" s="602"/>
      <c r="H997" s="602"/>
      <c r="I997" s="602"/>
      <c r="J997" s="602"/>
      <c r="K997" s="602"/>
      <c r="L997" s="602"/>
      <c r="M997" s="602"/>
      <c r="N997" s="602"/>
      <c r="O997" s="602"/>
      <c r="P997" s="602"/>
      <c r="Q997" s="602"/>
      <c r="R997" s="602"/>
    </row>
    <row r="998" spans="1:18" ht="15.75" customHeight="1">
      <c r="A998" s="602"/>
      <c r="B998" s="602"/>
      <c r="C998" s="602"/>
      <c r="D998" s="602"/>
      <c r="E998" s="602"/>
      <c r="F998" s="602"/>
      <c r="G998" s="602"/>
      <c r="H998" s="602"/>
      <c r="I998" s="602"/>
      <c r="J998" s="602"/>
      <c r="K998" s="602"/>
      <c r="L998" s="602"/>
      <c r="M998" s="602"/>
      <c r="N998" s="602"/>
      <c r="O998" s="602"/>
      <c r="P998" s="602"/>
      <c r="Q998" s="602"/>
      <c r="R998" s="602"/>
    </row>
    <row r="999" spans="1:18" ht="15.75" customHeight="1">
      <c r="A999" s="602"/>
      <c r="B999" s="602"/>
      <c r="C999" s="602"/>
      <c r="D999" s="602"/>
      <c r="E999" s="602"/>
      <c r="F999" s="602"/>
      <c r="G999" s="602"/>
      <c r="H999" s="602"/>
      <c r="I999" s="602"/>
      <c r="J999" s="602"/>
      <c r="K999" s="602"/>
      <c r="L999" s="602"/>
      <c r="M999" s="602"/>
      <c r="N999" s="602"/>
      <c r="O999" s="602"/>
      <c r="P999" s="602"/>
      <c r="Q999" s="602"/>
      <c r="R999" s="602"/>
    </row>
    <row r="1000" spans="1:18" ht="15.75" customHeight="1">
      <c r="A1000" s="602"/>
      <c r="B1000" s="602"/>
      <c r="C1000" s="602"/>
      <c r="D1000" s="602"/>
      <c r="E1000" s="602"/>
      <c r="F1000" s="602"/>
      <c r="G1000" s="602"/>
      <c r="H1000" s="602"/>
      <c r="I1000" s="602"/>
      <c r="J1000" s="602"/>
      <c r="K1000" s="602"/>
      <c r="L1000" s="602"/>
      <c r="M1000" s="602"/>
      <c r="N1000" s="602"/>
      <c r="O1000" s="602"/>
      <c r="P1000" s="602"/>
      <c r="Q1000" s="602"/>
      <c r="R1000" s="602"/>
    </row>
  </sheetData>
  <mergeCells count="192">
    <mergeCell ref="A524:D524"/>
    <mergeCell ref="A525:D525"/>
    <mergeCell ref="K514:L514"/>
    <mergeCell ref="A518:J518"/>
    <mergeCell ref="A520:J520"/>
    <mergeCell ref="A521:J521"/>
    <mergeCell ref="A522:J522"/>
    <mergeCell ref="A523:D523"/>
    <mergeCell ref="A510:J510"/>
    <mergeCell ref="A511:J511"/>
    <mergeCell ref="A512:J512"/>
    <mergeCell ref="A513:J513"/>
    <mergeCell ref="D514:E514"/>
    <mergeCell ref="H514:I514"/>
    <mergeCell ref="C501:D501"/>
    <mergeCell ref="A503:J503"/>
    <mergeCell ref="A506:J506"/>
    <mergeCell ref="A507:J507"/>
    <mergeCell ref="A508:J508"/>
    <mergeCell ref="A509:J509"/>
    <mergeCell ref="A497:J497"/>
    <mergeCell ref="A498:J498"/>
    <mergeCell ref="E499:F499"/>
    <mergeCell ref="G499:H499"/>
    <mergeCell ref="I499:J499"/>
    <mergeCell ref="K499:L499"/>
    <mergeCell ref="A490:J490"/>
    <mergeCell ref="A491:J491"/>
    <mergeCell ref="A492:J492"/>
    <mergeCell ref="A493:J493"/>
    <mergeCell ref="A494:J494"/>
    <mergeCell ref="A496:J496"/>
    <mergeCell ref="N486:N487"/>
    <mergeCell ref="O486:O489"/>
    <mergeCell ref="P486:P489"/>
    <mergeCell ref="Q486:Q489"/>
    <mergeCell ref="J487:J488"/>
    <mergeCell ref="K488:N489"/>
    <mergeCell ref="G486:G489"/>
    <mergeCell ref="H486:H489"/>
    <mergeCell ref="I486:I489"/>
    <mergeCell ref="K486:K487"/>
    <mergeCell ref="L486:L487"/>
    <mergeCell ref="M486:M487"/>
    <mergeCell ref="A486:A489"/>
    <mergeCell ref="B486:B489"/>
    <mergeCell ref="C486:C489"/>
    <mergeCell ref="D486:D489"/>
    <mergeCell ref="E486:E489"/>
    <mergeCell ref="F486:F489"/>
    <mergeCell ref="A479:J479"/>
    <mergeCell ref="A480:J480"/>
    <mergeCell ref="A481:J481"/>
    <mergeCell ref="A483:B483"/>
    <mergeCell ref="A484:J484"/>
    <mergeCell ref="K485:L485"/>
    <mergeCell ref="N475:N476"/>
    <mergeCell ref="O475:O478"/>
    <mergeCell ref="P475:P478"/>
    <mergeCell ref="Q475:Q478"/>
    <mergeCell ref="J476:J477"/>
    <mergeCell ref="K477:N478"/>
    <mergeCell ref="G475:G478"/>
    <mergeCell ref="H475:H478"/>
    <mergeCell ref="I475:I478"/>
    <mergeCell ref="K475:K476"/>
    <mergeCell ref="L475:L476"/>
    <mergeCell ref="M475:M476"/>
    <mergeCell ref="O471:O474"/>
    <mergeCell ref="P471:P474"/>
    <mergeCell ref="J473:J474"/>
    <mergeCell ref="K474:N474"/>
    <mergeCell ref="A475:A478"/>
    <mergeCell ref="B475:B478"/>
    <mergeCell ref="C475:C478"/>
    <mergeCell ref="D475:D478"/>
    <mergeCell ref="E475:E478"/>
    <mergeCell ref="F475:F478"/>
    <mergeCell ref="H471:H474"/>
    <mergeCell ref="I471:I474"/>
    <mergeCell ref="K471:K473"/>
    <mergeCell ref="L471:L473"/>
    <mergeCell ref="M471:M473"/>
    <mergeCell ref="N471:N473"/>
    <mergeCell ref="A471:A474"/>
    <mergeCell ref="B471:B474"/>
    <mergeCell ref="C471:C474"/>
    <mergeCell ref="E471:E474"/>
    <mergeCell ref="F471:F474"/>
    <mergeCell ref="G471:G474"/>
    <mergeCell ref="N467:N469"/>
    <mergeCell ref="O467:O470"/>
    <mergeCell ref="P467:P470"/>
    <mergeCell ref="Q467:Q470"/>
    <mergeCell ref="J469:J470"/>
    <mergeCell ref="K470:N470"/>
    <mergeCell ref="G467:G470"/>
    <mergeCell ref="H467:H470"/>
    <mergeCell ref="I467:I470"/>
    <mergeCell ref="K467:K469"/>
    <mergeCell ref="L467:L469"/>
    <mergeCell ref="M467:M469"/>
    <mergeCell ref="A467:A470"/>
    <mergeCell ref="B467:B470"/>
    <mergeCell ref="C467:C470"/>
    <mergeCell ref="D467:D470"/>
    <mergeCell ref="E467:E470"/>
    <mergeCell ref="F467:F470"/>
    <mergeCell ref="A460:J460"/>
    <mergeCell ref="A461:J461"/>
    <mergeCell ref="A462:J462"/>
    <mergeCell ref="A464:B464"/>
    <mergeCell ref="A465:J465"/>
    <mergeCell ref="K466:L466"/>
    <mergeCell ref="A452:D452"/>
    <mergeCell ref="A454:B454"/>
    <mergeCell ref="A456:D456"/>
    <mergeCell ref="A457:D457"/>
    <mergeCell ref="A458:D458"/>
    <mergeCell ref="A459:J459"/>
    <mergeCell ref="A386:B386"/>
    <mergeCell ref="A447:J447"/>
    <mergeCell ref="A448:J448"/>
    <mergeCell ref="A449:J449"/>
    <mergeCell ref="A450:D450"/>
    <mergeCell ref="A451:D451"/>
    <mergeCell ref="A67:J67"/>
    <mergeCell ref="A68:B68"/>
    <mergeCell ref="A72:B72"/>
    <mergeCell ref="A74:B74"/>
    <mergeCell ref="A98:B98"/>
    <mergeCell ref="A291:B291"/>
    <mergeCell ref="B61:D61"/>
    <mergeCell ref="A62:D62"/>
    <mergeCell ref="B63:D63"/>
    <mergeCell ref="A64:D64"/>
    <mergeCell ref="A65:J65"/>
    <mergeCell ref="A66:J66"/>
    <mergeCell ref="A55:J55"/>
    <mergeCell ref="A56:D56"/>
    <mergeCell ref="B57:D57"/>
    <mergeCell ref="A58:D58"/>
    <mergeCell ref="B59:D59"/>
    <mergeCell ref="A60:D60"/>
    <mergeCell ref="A48:B49"/>
    <mergeCell ref="A50:D50"/>
    <mergeCell ref="B51:D51"/>
    <mergeCell ref="A52:D52"/>
    <mergeCell ref="A53:J53"/>
    <mergeCell ref="A54:J54"/>
    <mergeCell ref="C41:C42"/>
    <mergeCell ref="D41:D42"/>
    <mergeCell ref="A42:A43"/>
    <mergeCell ref="B42:B43"/>
    <mergeCell ref="C43:C45"/>
    <mergeCell ref="D43:D45"/>
    <mergeCell ref="A45:A46"/>
    <mergeCell ref="B45:B46"/>
    <mergeCell ref="C46:C48"/>
    <mergeCell ref="D46:D48"/>
    <mergeCell ref="A35:B35"/>
    <mergeCell ref="A36:K36"/>
    <mergeCell ref="A37:J37"/>
    <mergeCell ref="A38:J38"/>
    <mergeCell ref="A39:J39"/>
    <mergeCell ref="A40:D40"/>
    <mergeCell ref="A26:B26"/>
    <mergeCell ref="A27:B27"/>
    <mergeCell ref="A29:B29"/>
    <mergeCell ref="A30:D30"/>
    <mergeCell ref="C31:C32"/>
    <mergeCell ref="D31:D32"/>
    <mergeCell ref="A32:A33"/>
    <mergeCell ref="B32:B33"/>
    <mergeCell ref="A18:C18"/>
    <mergeCell ref="B20:C21"/>
    <mergeCell ref="A22:C22"/>
    <mergeCell ref="A23:J23"/>
    <mergeCell ref="A24:J24"/>
    <mergeCell ref="A25:J25"/>
    <mergeCell ref="A10:J10"/>
    <mergeCell ref="A11:J11"/>
    <mergeCell ref="A12:C12"/>
    <mergeCell ref="A13:C13"/>
    <mergeCell ref="B16:C16"/>
    <mergeCell ref="A17:C17"/>
    <mergeCell ref="B1:D1"/>
    <mergeCell ref="A3:C3"/>
    <mergeCell ref="B6:C6"/>
    <mergeCell ref="A7:C7"/>
    <mergeCell ref="A8:C8"/>
    <mergeCell ref="A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U117"/>
  <sheetViews>
    <sheetView zoomScale="70" zoomScaleNormal="70" workbookViewId="0">
      <selection activeCell="J95" sqref="J95:U106"/>
    </sheetView>
  </sheetViews>
  <sheetFormatPr defaultColWidth="12.5546875" defaultRowHeight="15" customHeight="1"/>
  <cols>
    <col min="1" max="1" width="11.109375" style="102" customWidth="1"/>
    <col min="2" max="2" width="44" style="102" customWidth="1"/>
    <col min="3" max="3" width="13.77734375" style="102" hidden="1" customWidth="1"/>
    <col min="4" max="7" width="13.21875" style="102" customWidth="1"/>
    <col min="8" max="9" width="13.77734375" style="102" customWidth="1"/>
    <col min="10" max="10" width="51.77734375" style="102" customWidth="1"/>
    <col min="11" max="11" width="11.109375" style="102" hidden="1" customWidth="1"/>
    <col min="12" max="15" width="11.33203125" style="102" customWidth="1"/>
    <col min="16" max="16" width="11.109375" style="102" customWidth="1"/>
    <col min="17" max="17" width="11.109375" style="102" hidden="1" customWidth="1"/>
    <col min="18" max="20" width="12.33203125" style="102" customWidth="1"/>
    <col min="21" max="21" width="16.33203125" style="102" customWidth="1"/>
    <col min="22" max="25" width="11.109375" style="102" customWidth="1"/>
    <col min="26" max="16384" width="12.5546875" style="102"/>
  </cols>
  <sheetData>
    <row r="1" spans="2:8" ht="15" customHeight="1">
      <c r="B1" s="573" t="s">
        <v>608</v>
      </c>
      <c r="C1" s="573"/>
      <c r="D1" s="573"/>
      <c r="E1" s="573"/>
      <c r="F1" s="573"/>
      <c r="G1" s="573"/>
    </row>
    <row r="3" spans="2:8" ht="15" customHeight="1" thickBot="1">
      <c r="B3" s="188" t="s">
        <v>609</v>
      </c>
    </row>
    <row r="4" spans="2:8" ht="18">
      <c r="B4" s="580" t="s">
        <v>464</v>
      </c>
      <c r="C4" s="581"/>
      <c r="D4" s="581"/>
      <c r="E4" s="581"/>
      <c r="F4" s="581"/>
      <c r="G4" s="582"/>
      <c r="H4" s="103"/>
    </row>
    <row r="5" spans="2:8" ht="15.6">
      <c r="B5" s="85"/>
      <c r="C5" s="84">
        <v>2020</v>
      </c>
      <c r="D5" s="84">
        <v>2021</v>
      </c>
      <c r="E5" s="84">
        <v>2022</v>
      </c>
      <c r="F5" s="84">
        <v>2023</v>
      </c>
      <c r="G5" s="86">
        <v>2024</v>
      </c>
      <c r="H5" s="103"/>
    </row>
    <row r="6" spans="2:8" ht="14.4">
      <c r="B6" s="87" t="s">
        <v>465</v>
      </c>
      <c r="C6" s="83"/>
      <c r="D6" s="83"/>
      <c r="E6" s="83"/>
      <c r="F6" s="83"/>
      <c r="G6" s="88"/>
      <c r="H6" s="103"/>
    </row>
    <row r="7" spans="2:8" ht="15.6">
      <c r="B7" s="104" t="s">
        <v>466</v>
      </c>
      <c r="C7" s="105"/>
      <c r="D7" s="105"/>
      <c r="E7" s="105"/>
      <c r="F7" s="106"/>
      <c r="G7" s="107"/>
      <c r="H7" s="103"/>
    </row>
    <row r="8" spans="2:8" ht="13.8">
      <c r="B8" s="108" t="s">
        <v>467</v>
      </c>
      <c r="C8" s="109"/>
      <c r="D8" s="110"/>
      <c r="E8" s="110"/>
      <c r="F8" s="111"/>
      <c r="G8" s="112"/>
      <c r="H8" s="103"/>
    </row>
    <row r="9" spans="2:8" ht="13.8">
      <c r="B9" s="113" t="s">
        <v>468</v>
      </c>
      <c r="C9" s="114">
        <f>'Balance sheet'!B14</f>
        <v>22091</v>
      </c>
      <c r="D9" s="114">
        <f>'Balance sheet'!C14</f>
        <v>24644</v>
      </c>
      <c r="E9" s="114">
        <f>'Balance sheet'!D14</f>
        <v>23054</v>
      </c>
      <c r="F9" s="114">
        <f>'Balance sheet'!E14</f>
        <v>30220</v>
      </c>
      <c r="G9" s="115">
        <f>'Balance sheet'!F14</f>
        <v>31737</v>
      </c>
      <c r="H9" s="103"/>
    </row>
    <row r="10" spans="2:8" ht="13.8">
      <c r="B10" s="116" t="s">
        <v>469</v>
      </c>
      <c r="C10" s="114">
        <f>'Balance sheet'!B15</f>
        <v>2059</v>
      </c>
      <c r="D10" s="114">
        <f>'Balance sheet'!C15</f>
        <v>1625</v>
      </c>
      <c r="E10" s="114">
        <f>'Balance sheet'!D15</f>
        <v>1190</v>
      </c>
      <c r="F10" s="114">
        <f>'Balance sheet'!E15</f>
        <v>755</v>
      </c>
      <c r="G10" s="115">
        <f>'Balance sheet'!F15</f>
        <v>320</v>
      </c>
      <c r="H10" s="103"/>
    </row>
    <row r="11" spans="2:8" ht="13.8">
      <c r="B11" s="113" t="s">
        <v>470</v>
      </c>
      <c r="C11" s="114">
        <f>'Balance sheet'!B11+'Balance sheet'!B12+'Balance sheet'!B17+'Balance sheet'!B18+'Balance sheet'!B13</f>
        <v>388159</v>
      </c>
      <c r="D11" s="114">
        <f>'Balance sheet'!C11+'Balance sheet'!C12+'Balance sheet'!C17+'Balance sheet'!C18+'Balance sheet'!C13</f>
        <v>322360</v>
      </c>
      <c r="E11" s="114">
        <f>'Balance sheet'!D11+'Balance sheet'!D12+'Balance sheet'!D17+'Balance sheet'!D18+'Balance sheet'!D13</f>
        <v>470059</v>
      </c>
      <c r="F11" s="114">
        <f>'Balance sheet'!E11+'Balance sheet'!E12+'Balance sheet'!E17+'Balance sheet'!E18+'Balance sheet'!E13</f>
        <v>1110049</v>
      </c>
      <c r="G11" s="115">
        <f>'Balance sheet'!F11+'Balance sheet'!F12+'Balance sheet'!F17+'Balance sheet'!F18+'Balance sheet'!F13</f>
        <v>915927</v>
      </c>
      <c r="H11" s="103"/>
    </row>
    <row r="12" spans="2:8" ht="13.8">
      <c r="B12" s="113" t="s">
        <v>471</v>
      </c>
      <c r="C12" s="114">
        <f>SUM('Balance sheet'!B23:B27)</f>
        <v>115120</v>
      </c>
      <c r="D12" s="114">
        <f>SUM('Balance sheet'!C23:C27)</f>
        <v>164109</v>
      </c>
      <c r="E12" s="114">
        <f>SUM('Balance sheet'!D23:D27)</f>
        <v>292008</v>
      </c>
      <c r="F12" s="114">
        <f>SUM('Balance sheet'!E23:E27)</f>
        <v>341765</v>
      </c>
      <c r="G12" s="115">
        <f>SUM('Balance sheet'!F23:F27)</f>
        <v>598899</v>
      </c>
      <c r="H12" s="103"/>
    </row>
    <row r="13" spans="2:8" ht="13.8">
      <c r="B13" s="113" t="s">
        <v>472</v>
      </c>
      <c r="C13" s="114">
        <f>'Balance sheet'!B30</f>
        <v>50270</v>
      </c>
      <c r="D13" s="114">
        <f>'Balance sheet'!C30</f>
        <v>50270</v>
      </c>
      <c r="E13" s="114">
        <f>'Balance sheet'!D30</f>
        <v>50270</v>
      </c>
      <c r="F13" s="114">
        <f>'Balance sheet'!E30</f>
        <v>50270</v>
      </c>
      <c r="G13" s="115">
        <f>'Balance sheet'!F30</f>
        <v>50270</v>
      </c>
      <c r="H13" s="103"/>
    </row>
    <row r="14" spans="2:8" ht="13.8">
      <c r="B14" s="113" t="s">
        <v>473</v>
      </c>
      <c r="C14" s="114">
        <v>0</v>
      </c>
      <c r="D14" s="114">
        <v>0</v>
      </c>
      <c r="E14" s="114">
        <v>0</v>
      </c>
      <c r="F14" s="114">
        <v>0</v>
      </c>
      <c r="G14" s="115">
        <v>0</v>
      </c>
      <c r="H14" s="103"/>
    </row>
    <row r="15" spans="2:8" ht="13.8">
      <c r="B15" s="113" t="s">
        <v>474</v>
      </c>
      <c r="C15" s="114">
        <f>'Balance sheet'!B67+'Balance sheet'!B69+'Balance sheet'!B71+'Balance sheet'!B73+'Balance sheet'!B75+'Balance sheet'!B77+'Balance sheet'!B79+'Balance sheet'!B81</f>
        <v>0</v>
      </c>
      <c r="D15" s="114">
        <f>'Balance sheet'!C67+'Balance sheet'!C69+'Balance sheet'!C71+'Balance sheet'!C73+'Balance sheet'!C75+'Balance sheet'!C77+'Balance sheet'!C79+'Balance sheet'!C81</f>
        <v>0</v>
      </c>
      <c r="E15" s="114">
        <f>'Balance sheet'!D67+'Balance sheet'!D69+'Balance sheet'!D71+'Balance sheet'!D73+'Balance sheet'!D75+'Balance sheet'!D77+'Balance sheet'!D79+'Balance sheet'!D81</f>
        <v>0</v>
      </c>
      <c r="F15" s="114">
        <f>'Balance sheet'!E67+'Balance sheet'!E69+'Balance sheet'!E71+'Balance sheet'!E73+'Balance sheet'!E75+'Balance sheet'!E77+'Balance sheet'!E79+'Balance sheet'!E81</f>
        <v>0</v>
      </c>
      <c r="G15" s="115">
        <f>'Balance sheet'!F67+'Balance sheet'!F69+'Balance sheet'!F71+'Balance sheet'!F73+'Balance sheet'!F75+'Balance sheet'!F77+'Balance sheet'!F79+'Balance sheet'!F81</f>
        <v>0</v>
      </c>
      <c r="H15" s="103"/>
    </row>
    <row r="16" spans="2:8" ht="13.8">
      <c r="B16" s="117" t="s">
        <v>475</v>
      </c>
      <c r="C16" s="118">
        <f t="shared" ref="C16:G16" si="0">SUM(C9:C15)</f>
        <v>577699</v>
      </c>
      <c r="D16" s="118">
        <f t="shared" si="0"/>
        <v>563008</v>
      </c>
      <c r="E16" s="118">
        <f t="shared" si="0"/>
        <v>836581</v>
      </c>
      <c r="F16" s="118">
        <f t="shared" si="0"/>
        <v>1533059</v>
      </c>
      <c r="G16" s="119">
        <f t="shared" si="0"/>
        <v>1597153</v>
      </c>
      <c r="H16" s="103"/>
    </row>
    <row r="17" spans="2:8" ht="13.8">
      <c r="B17" s="108" t="s">
        <v>476</v>
      </c>
      <c r="C17" s="120"/>
      <c r="D17" s="120"/>
      <c r="E17" s="120"/>
      <c r="F17" s="120"/>
      <c r="G17" s="121"/>
      <c r="H17" s="103"/>
    </row>
    <row r="18" spans="2:8" ht="13.8">
      <c r="B18" s="113" t="s">
        <v>477</v>
      </c>
      <c r="C18" s="114">
        <f>'Balance sheet'!B82</f>
        <v>3697489</v>
      </c>
      <c r="D18" s="114">
        <f>'Balance sheet'!C82</f>
        <v>3520108</v>
      </c>
      <c r="E18" s="114">
        <f>'Balance sheet'!D82</f>
        <v>5456367</v>
      </c>
      <c r="F18" s="114">
        <f>'Balance sheet'!E82</f>
        <v>5081312</v>
      </c>
      <c r="G18" s="115">
        <f>'Balance sheet'!F82</f>
        <v>6368430</v>
      </c>
      <c r="H18" s="103"/>
    </row>
    <row r="19" spans="2:8" ht="13.8">
      <c r="B19" s="116" t="s">
        <v>478</v>
      </c>
      <c r="C19" s="114">
        <f>'Balance sheet'!B57</f>
        <v>1244471</v>
      </c>
      <c r="D19" s="114">
        <f>'Balance sheet'!C57</f>
        <v>1885278</v>
      </c>
      <c r="E19" s="114">
        <f>'Balance sheet'!D57</f>
        <v>2153497</v>
      </c>
      <c r="F19" s="114">
        <f>'Balance sheet'!E57</f>
        <v>2892260</v>
      </c>
      <c r="G19" s="115">
        <f>'Balance sheet'!F57</f>
        <v>2962879</v>
      </c>
      <c r="H19" s="103"/>
    </row>
    <row r="20" spans="2:8" ht="13.8">
      <c r="B20" s="113" t="s">
        <v>479</v>
      </c>
      <c r="C20" s="114">
        <f>'Balance sheet'!B101</f>
        <v>4873</v>
      </c>
      <c r="D20" s="114">
        <f>'Balance sheet'!C101</f>
        <v>6128</v>
      </c>
      <c r="E20" s="114">
        <f>'Balance sheet'!D101</f>
        <v>9204</v>
      </c>
      <c r="F20" s="114">
        <f>'Balance sheet'!E101</f>
        <v>16924</v>
      </c>
      <c r="G20" s="115">
        <f>'Balance sheet'!F101</f>
        <v>29539</v>
      </c>
      <c r="H20" s="103"/>
    </row>
    <row r="21" spans="2:8" ht="13.8">
      <c r="B21" s="113" t="s">
        <v>480</v>
      </c>
      <c r="C21" s="114">
        <f>'Balance sheet'!B99+'Balance sheet'!B103</f>
        <v>1307301</v>
      </c>
      <c r="D21" s="114">
        <f>'Balance sheet'!C99+'Balance sheet'!C103</f>
        <v>1276045</v>
      </c>
      <c r="E21" s="114">
        <f>'Balance sheet'!D99+'Balance sheet'!D103</f>
        <v>529833</v>
      </c>
      <c r="F21" s="114">
        <f>'Balance sheet'!E99+'Balance sheet'!E103</f>
        <v>1353543</v>
      </c>
      <c r="G21" s="115">
        <f>'Balance sheet'!F99+'Balance sheet'!F103</f>
        <v>1032729</v>
      </c>
      <c r="H21" s="103"/>
    </row>
    <row r="22" spans="2:8" ht="13.8">
      <c r="B22" s="117" t="s">
        <v>481</v>
      </c>
      <c r="C22" s="118">
        <f t="shared" ref="C22:G22" si="1">SUM(C18:C21)</f>
        <v>6254134</v>
      </c>
      <c r="D22" s="118">
        <f t="shared" si="1"/>
        <v>6687559</v>
      </c>
      <c r="E22" s="118">
        <f t="shared" si="1"/>
        <v>8148901</v>
      </c>
      <c r="F22" s="118">
        <f t="shared" si="1"/>
        <v>9344039</v>
      </c>
      <c r="G22" s="119">
        <f t="shared" si="1"/>
        <v>10393577</v>
      </c>
      <c r="H22" s="103"/>
    </row>
    <row r="23" spans="2:8" ht="13.8">
      <c r="B23" s="108" t="s">
        <v>482</v>
      </c>
      <c r="C23" s="122"/>
      <c r="D23" s="122"/>
      <c r="E23" s="122"/>
      <c r="F23" s="122"/>
      <c r="G23" s="123"/>
      <c r="H23" s="103"/>
    </row>
    <row r="24" spans="2:8" ht="13.8">
      <c r="B24" s="117" t="s">
        <v>483</v>
      </c>
      <c r="C24" s="118">
        <f t="shared" ref="C24:G24" si="2">C16+C22</f>
        <v>6831833</v>
      </c>
      <c r="D24" s="118">
        <f t="shared" si="2"/>
        <v>7250567</v>
      </c>
      <c r="E24" s="118">
        <f t="shared" si="2"/>
        <v>8985482</v>
      </c>
      <c r="F24" s="118">
        <f t="shared" si="2"/>
        <v>10877098</v>
      </c>
      <c r="G24" s="119">
        <f t="shared" si="2"/>
        <v>11990730</v>
      </c>
      <c r="H24" s="103"/>
    </row>
    <row r="25" spans="2:8" ht="13.8">
      <c r="B25" s="124" t="s">
        <v>484</v>
      </c>
      <c r="C25" s="125"/>
      <c r="D25" s="125"/>
      <c r="E25" s="125"/>
      <c r="F25" s="125"/>
      <c r="G25" s="126"/>
      <c r="H25" s="103"/>
    </row>
    <row r="26" spans="2:8" ht="13.8">
      <c r="B26" s="124" t="s">
        <v>485</v>
      </c>
      <c r="C26" s="125"/>
      <c r="D26" s="125"/>
      <c r="E26" s="125"/>
      <c r="F26" s="125"/>
      <c r="G26" s="126"/>
      <c r="H26" s="103"/>
    </row>
    <row r="27" spans="2:8" ht="13.8">
      <c r="B27" s="116" t="s">
        <v>486</v>
      </c>
      <c r="C27" s="127">
        <f>'Balance sheet'!B113</f>
        <v>100000</v>
      </c>
      <c r="D27" s="127">
        <f>'Balance sheet'!C113</f>
        <v>100000</v>
      </c>
      <c r="E27" s="127">
        <f>'Balance sheet'!D113</f>
        <v>100000</v>
      </c>
      <c r="F27" s="127">
        <f>'Balance sheet'!E113</f>
        <v>100000</v>
      </c>
      <c r="G27" s="128">
        <f>'Balance sheet'!F113</f>
        <v>100000</v>
      </c>
      <c r="H27" s="103"/>
    </row>
    <row r="28" spans="2:8" ht="13.8">
      <c r="B28" s="113" t="s">
        <v>487</v>
      </c>
      <c r="C28" s="114">
        <f>'Balance sheet'!B120+'Balance sheet'!B123</f>
        <v>542433</v>
      </c>
      <c r="D28" s="114">
        <f>'Balance sheet'!C120+'Balance sheet'!C123</f>
        <v>542436</v>
      </c>
      <c r="E28" s="114">
        <f>'Balance sheet'!D120+'Balance sheet'!D123</f>
        <v>542434</v>
      </c>
      <c r="F28" s="114">
        <f>'Balance sheet'!E120+'Balance sheet'!E123</f>
        <v>542436</v>
      </c>
      <c r="G28" s="115">
        <f>'Balance sheet'!F120+'Balance sheet'!F123</f>
        <v>542433</v>
      </c>
      <c r="H28" s="103"/>
    </row>
    <row r="29" spans="2:8" ht="13.8">
      <c r="B29" s="113" t="s">
        <v>488</v>
      </c>
      <c r="C29" s="114">
        <f>'Balance sheet'!B126</f>
        <v>0</v>
      </c>
      <c r="D29" s="114">
        <f>'Balance sheet'!C126</f>
        <v>19704</v>
      </c>
      <c r="E29" s="114">
        <f>'Balance sheet'!D126</f>
        <v>324454</v>
      </c>
      <c r="F29" s="114">
        <f>'Balance sheet'!E126</f>
        <v>838262</v>
      </c>
      <c r="G29" s="115">
        <f>'Balance sheet'!F126</f>
        <v>1615043</v>
      </c>
      <c r="H29" s="103"/>
    </row>
    <row r="30" spans="2:8" ht="13.8">
      <c r="B30" s="113" t="s">
        <v>489</v>
      </c>
      <c r="C30" s="114">
        <f>'Balance sheet'!B127</f>
        <v>19704</v>
      </c>
      <c r="D30" s="114">
        <f>'Balance sheet'!C127</f>
        <v>304750</v>
      </c>
      <c r="E30" s="114">
        <f>'Balance sheet'!D127</f>
        <v>513808</v>
      </c>
      <c r="F30" s="114">
        <f>'Balance sheet'!E127</f>
        <v>776780</v>
      </c>
      <c r="G30" s="115">
        <f>'Balance sheet'!F127</f>
        <v>672289</v>
      </c>
      <c r="H30" s="103"/>
    </row>
    <row r="31" spans="2:8" ht="13.8">
      <c r="B31" s="117" t="s">
        <v>490</v>
      </c>
      <c r="C31" s="118">
        <f t="shared" ref="C31:G31" si="3">SUM(C27:C30)</f>
        <v>662137</v>
      </c>
      <c r="D31" s="118">
        <f t="shared" si="3"/>
        <v>966890</v>
      </c>
      <c r="E31" s="118">
        <f t="shared" si="3"/>
        <v>1480696</v>
      </c>
      <c r="F31" s="118">
        <f t="shared" si="3"/>
        <v>2257478</v>
      </c>
      <c r="G31" s="119">
        <f t="shared" si="3"/>
        <v>2929765</v>
      </c>
      <c r="H31" s="103"/>
    </row>
    <row r="32" spans="2:8" ht="13.8">
      <c r="B32" s="113" t="s">
        <v>491</v>
      </c>
      <c r="C32" s="114">
        <v>0</v>
      </c>
      <c r="D32" s="114">
        <v>0</v>
      </c>
      <c r="E32" s="114">
        <v>0</v>
      </c>
      <c r="F32" s="114">
        <v>0</v>
      </c>
      <c r="G32" s="115">
        <v>0</v>
      </c>
      <c r="H32" s="103"/>
    </row>
    <row r="33" spans="2:8" ht="13.8">
      <c r="B33" s="117" t="s">
        <v>492</v>
      </c>
      <c r="C33" s="118">
        <f t="shared" ref="C33:G33" si="4">C31</f>
        <v>662137</v>
      </c>
      <c r="D33" s="118">
        <f t="shared" si="4"/>
        <v>966890</v>
      </c>
      <c r="E33" s="118">
        <f t="shared" si="4"/>
        <v>1480696</v>
      </c>
      <c r="F33" s="118">
        <f t="shared" si="4"/>
        <v>2257478</v>
      </c>
      <c r="G33" s="119">
        <f t="shared" si="4"/>
        <v>2929765</v>
      </c>
      <c r="H33" s="103"/>
    </row>
    <row r="34" spans="2:8" ht="13.8">
      <c r="B34" s="124" t="s">
        <v>493</v>
      </c>
      <c r="C34" s="125"/>
      <c r="D34" s="125"/>
      <c r="E34" s="125"/>
      <c r="F34" s="125"/>
      <c r="G34" s="126"/>
      <c r="H34" s="103"/>
    </row>
    <row r="35" spans="2:8" ht="13.8">
      <c r="B35" s="129" t="s">
        <v>494</v>
      </c>
      <c r="C35" s="130"/>
      <c r="D35" s="130"/>
      <c r="E35" s="130"/>
      <c r="F35" s="130"/>
      <c r="G35" s="131"/>
      <c r="H35" s="103"/>
    </row>
    <row r="36" spans="2:8" ht="13.8">
      <c r="B36" s="113" t="s">
        <v>495</v>
      </c>
      <c r="C36" s="114">
        <f>'Balance sheet'!B137</f>
        <v>0</v>
      </c>
      <c r="D36" s="114">
        <f>'Balance sheet'!C137</f>
        <v>0</v>
      </c>
      <c r="E36" s="114">
        <f>'Balance sheet'!D137</f>
        <v>0</v>
      </c>
      <c r="F36" s="114">
        <f>'Balance sheet'!E137</f>
        <v>0</v>
      </c>
      <c r="G36" s="115">
        <f>'Balance sheet'!F137</f>
        <v>0</v>
      </c>
      <c r="H36" s="103"/>
    </row>
    <row r="37" spans="2:8" ht="13.8">
      <c r="B37" s="113" t="s">
        <v>496</v>
      </c>
      <c r="C37" s="114">
        <f>'Balance sheet'!B144</f>
        <v>193620</v>
      </c>
      <c r="D37" s="114">
        <f>'Balance sheet'!C144</f>
        <v>220634</v>
      </c>
      <c r="E37" s="114">
        <f>'Balance sheet'!D144</f>
        <v>253701</v>
      </c>
      <c r="F37" s="114">
        <f>'Balance sheet'!E144</f>
        <v>307482</v>
      </c>
      <c r="G37" s="115">
        <f>'Balance sheet'!F144</f>
        <v>275626</v>
      </c>
      <c r="H37" s="103"/>
    </row>
    <row r="38" spans="2:8" ht="13.8">
      <c r="B38" s="113" t="s">
        <v>497</v>
      </c>
      <c r="C38" s="114">
        <v>0</v>
      </c>
      <c r="D38" s="114">
        <v>0</v>
      </c>
      <c r="E38" s="114">
        <v>0</v>
      </c>
      <c r="F38" s="114">
        <v>0</v>
      </c>
      <c r="G38" s="115">
        <v>0</v>
      </c>
      <c r="H38" s="103"/>
    </row>
    <row r="39" spans="2:8" ht="13.8">
      <c r="B39" s="113" t="s">
        <v>498</v>
      </c>
      <c r="C39" s="114">
        <f>'Balance sheet'!B150+'Balance sheet'!B152+'Balance sheet'!B156+'Balance sheet'!B158+'Balance sheet'!B160+'Balance sheet'!B162+'Balance sheet'!B164+'Balance sheet'!B174+'Balance sheet'!B176+'Balance sheet'!B178</f>
        <v>1967673</v>
      </c>
      <c r="D39" s="114">
        <f>'Balance sheet'!C150+'Balance sheet'!C152+'Balance sheet'!C156+'Balance sheet'!C158+'Balance sheet'!C160+'Balance sheet'!C162+'Balance sheet'!C164+'Balance sheet'!C174+'Balance sheet'!C176+'Balance sheet'!C178</f>
        <v>2590830</v>
      </c>
      <c r="E39" s="114">
        <f>'Balance sheet'!D150+'Balance sheet'!D152+'Balance sheet'!D156+'Balance sheet'!D158+'Balance sheet'!D160+'Balance sheet'!D162+'Balance sheet'!D164+'Balance sheet'!D174+'Balance sheet'!D176+'Balance sheet'!D178</f>
        <v>3314910</v>
      </c>
      <c r="F39" s="114">
        <f>'Balance sheet'!E150+'Balance sheet'!E152+'Balance sheet'!E156+'Balance sheet'!E158+'Balance sheet'!E160+'Balance sheet'!E162+'Balance sheet'!E164+'Balance sheet'!E174+'Balance sheet'!E176+'Balance sheet'!E178</f>
        <v>4483132</v>
      </c>
      <c r="G39" s="115">
        <f>'Balance sheet'!F150+'Balance sheet'!F152+'Balance sheet'!F156+'Balance sheet'!F158+'Balance sheet'!F160+'Balance sheet'!F162+'Balance sheet'!F164+'Balance sheet'!F174+'Balance sheet'!F176+'Balance sheet'!F178</f>
        <v>4243554</v>
      </c>
      <c r="H39" s="103"/>
    </row>
    <row r="40" spans="2:8" ht="13.8">
      <c r="B40" s="113" t="s">
        <v>499</v>
      </c>
      <c r="C40" s="114">
        <f>'Balance sheet'!B154</f>
        <v>1300000</v>
      </c>
      <c r="D40" s="114">
        <f>'Balance sheet'!C154</f>
        <v>1300000</v>
      </c>
      <c r="E40" s="114">
        <f>'Balance sheet'!D154</f>
        <v>0</v>
      </c>
      <c r="F40" s="114">
        <f>'Balance sheet'!E154</f>
        <v>0</v>
      </c>
      <c r="G40" s="115">
        <f>'Balance sheet'!F154</f>
        <v>0</v>
      </c>
      <c r="H40" s="103"/>
    </row>
    <row r="41" spans="2:8" ht="13.8">
      <c r="B41" s="117" t="s">
        <v>500</v>
      </c>
      <c r="C41" s="118">
        <f t="shared" ref="C41:G41" si="5">SUM(C36:C40)</f>
        <v>3461293</v>
      </c>
      <c r="D41" s="118">
        <f t="shared" si="5"/>
        <v>4111464</v>
      </c>
      <c r="E41" s="118">
        <f t="shared" si="5"/>
        <v>3568611</v>
      </c>
      <c r="F41" s="118">
        <f t="shared" si="5"/>
        <v>4790614</v>
      </c>
      <c r="G41" s="119">
        <f t="shared" si="5"/>
        <v>4519180</v>
      </c>
      <c r="H41" s="103"/>
    </row>
    <row r="42" spans="2:8" ht="13.8">
      <c r="B42" s="108" t="s">
        <v>501</v>
      </c>
      <c r="C42" s="120"/>
      <c r="D42" s="120"/>
      <c r="E42" s="120"/>
      <c r="F42" s="120"/>
      <c r="G42" s="121"/>
      <c r="H42" s="103"/>
    </row>
    <row r="43" spans="2:8" ht="13.8">
      <c r="B43" s="113" t="s">
        <v>502</v>
      </c>
      <c r="C43" s="114">
        <f>'Balance sheet'!B159+'Balance sheet'!B161</f>
        <v>1047973</v>
      </c>
      <c r="D43" s="114">
        <f>'Balance sheet'!C159+'Balance sheet'!C161</f>
        <v>1023644</v>
      </c>
      <c r="E43" s="114">
        <f>'Balance sheet'!D159+'Balance sheet'!D161</f>
        <v>1770389</v>
      </c>
      <c r="F43" s="114">
        <f>'Balance sheet'!E159+'Balance sheet'!E161</f>
        <v>1844400</v>
      </c>
      <c r="G43" s="115">
        <f>'Balance sheet'!F159+'Balance sheet'!F161</f>
        <v>1259596</v>
      </c>
      <c r="H43" s="103"/>
    </row>
    <row r="44" spans="2:8" ht="13.8">
      <c r="B44" s="113" t="s">
        <v>503</v>
      </c>
      <c r="C44" s="114">
        <f>'Balance sheet'!B149+'Balance sheet'!B151+'Balance sheet'!B155</f>
        <v>954402</v>
      </c>
      <c r="D44" s="114">
        <f>'Balance sheet'!C149+'Balance sheet'!C151+'Balance sheet'!C155</f>
        <v>408353</v>
      </c>
      <c r="E44" s="114">
        <f>'Balance sheet'!D149+'Balance sheet'!D151+'Balance sheet'!D155</f>
        <v>1174483</v>
      </c>
      <c r="F44" s="114">
        <f>'Balance sheet'!E149+'Balance sheet'!E151+'Balance sheet'!E155</f>
        <v>893797</v>
      </c>
      <c r="G44" s="115">
        <f>'Balance sheet'!F149+'Balance sheet'!F151+'Balance sheet'!F155</f>
        <v>2067585</v>
      </c>
      <c r="H44" s="103"/>
    </row>
    <row r="45" spans="2:8" ht="13.8">
      <c r="B45" s="113" t="s">
        <v>504</v>
      </c>
      <c r="C45" s="114">
        <f>'Balance sheet'!B173</f>
        <v>25687</v>
      </c>
      <c r="D45" s="114">
        <f>'Balance sheet'!C173</f>
        <v>43393</v>
      </c>
      <c r="E45" s="114">
        <f>'Balance sheet'!D173</f>
        <v>155494</v>
      </c>
      <c r="F45" s="114">
        <f>'Balance sheet'!E173</f>
        <v>75574</v>
      </c>
      <c r="G45" s="115">
        <f>'Balance sheet'!F173</f>
        <v>105048</v>
      </c>
      <c r="H45" s="103"/>
    </row>
    <row r="46" spans="2:8" ht="13.8">
      <c r="B46" s="113" t="s">
        <v>505</v>
      </c>
      <c r="C46" s="114">
        <f>'Balance sheet'!B153+'Balance sheet'!B157+'Balance sheet'!B165+'Balance sheet'!B175+'Balance sheet'!B177+'Balance sheet'!B185</f>
        <v>680341</v>
      </c>
      <c r="D46" s="114">
        <f>'Balance sheet'!C153+'Balance sheet'!C157+'Balance sheet'!C165+'Balance sheet'!C175+'Balance sheet'!C177+'Balance sheet'!C185</f>
        <v>696823</v>
      </c>
      <c r="E46" s="114">
        <f>'Balance sheet'!D153+'Balance sheet'!D157+'Balance sheet'!D165+'Balance sheet'!D175+'Balance sheet'!D177+'Balance sheet'!D185</f>
        <v>835809</v>
      </c>
      <c r="F46" s="114">
        <f>'Balance sheet'!E153+'Balance sheet'!E157+'Balance sheet'!E165+'Balance sheet'!E175+'Balance sheet'!E177+'Balance sheet'!E185</f>
        <v>1015235</v>
      </c>
      <c r="G46" s="115">
        <f>'Balance sheet'!F153+'Balance sheet'!F157+'Balance sheet'!F165+'Balance sheet'!F175+'Balance sheet'!F177+'Balance sheet'!F185</f>
        <v>1109556</v>
      </c>
      <c r="H46" s="103"/>
    </row>
    <row r="47" spans="2:8" ht="13.8">
      <c r="B47" s="117" t="s">
        <v>506</v>
      </c>
      <c r="C47" s="118">
        <f t="shared" ref="C47:G47" si="6">SUM(C43:C46)</f>
        <v>2708403</v>
      </c>
      <c r="D47" s="118">
        <f t="shared" si="6"/>
        <v>2172213</v>
      </c>
      <c r="E47" s="118">
        <f t="shared" si="6"/>
        <v>3936175</v>
      </c>
      <c r="F47" s="118">
        <f t="shared" si="6"/>
        <v>3829006</v>
      </c>
      <c r="G47" s="119">
        <f t="shared" si="6"/>
        <v>4541785</v>
      </c>
      <c r="H47" s="103"/>
    </row>
    <row r="48" spans="2:8" ht="13.8">
      <c r="B48" s="108" t="s">
        <v>507</v>
      </c>
      <c r="C48" s="132">
        <v>0</v>
      </c>
      <c r="D48" s="132">
        <v>0</v>
      </c>
      <c r="E48" s="132">
        <v>0</v>
      </c>
      <c r="F48" s="132">
        <v>0</v>
      </c>
      <c r="G48" s="133">
        <v>0</v>
      </c>
      <c r="H48" s="103"/>
    </row>
    <row r="49" spans="2:21" ht="13.8">
      <c r="B49" s="117" t="s">
        <v>508</v>
      </c>
      <c r="C49" s="134">
        <f t="shared" ref="C49:G49" si="7">C41+C47</f>
        <v>6169696</v>
      </c>
      <c r="D49" s="134">
        <f t="shared" si="7"/>
        <v>6283677</v>
      </c>
      <c r="E49" s="134">
        <f t="shared" si="7"/>
        <v>7504786</v>
      </c>
      <c r="F49" s="134">
        <f t="shared" si="7"/>
        <v>8619620</v>
      </c>
      <c r="G49" s="135">
        <f t="shared" si="7"/>
        <v>9060965</v>
      </c>
      <c r="H49" s="103"/>
    </row>
    <row r="50" spans="2:21" ht="14.4" thickBot="1">
      <c r="B50" s="136" t="s">
        <v>509</v>
      </c>
      <c r="C50" s="137">
        <f t="shared" ref="C50:G50" si="8">C49+C33</f>
        <v>6831833</v>
      </c>
      <c r="D50" s="137">
        <f t="shared" si="8"/>
        <v>7250567</v>
      </c>
      <c r="E50" s="137">
        <f t="shared" si="8"/>
        <v>8985482</v>
      </c>
      <c r="F50" s="137">
        <f t="shared" si="8"/>
        <v>10877098</v>
      </c>
      <c r="G50" s="138">
        <f t="shared" si="8"/>
        <v>11990730</v>
      </c>
      <c r="H50" s="103"/>
    </row>
    <row r="51" spans="2:21" ht="13.2">
      <c r="H51" s="103"/>
    </row>
    <row r="52" spans="2:21" ht="13.2">
      <c r="H52" s="103"/>
    </row>
    <row r="53" spans="2:21" ht="16.2" thickBot="1">
      <c r="B53" s="188" t="s">
        <v>609</v>
      </c>
      <c r="H53" s="103"/>
      <c r="J53" s="188" t="s">
        <v>609</v>
      </c>
    </row>
    <row r="54" spans="2:21" ht="19.2" customHeight="1">
      <c r="B54" s="577" t="s">
        <v>510</v>
      </c>
      <c r="C54" s="578"/>
      <c r="D54" s="578"/>
      <c r="E54" s="578"/>
      <c r="F54" s="578"/>
      <c r="G54" s="579"/>
      <c r="H54" s="139"/>
      <c r="I54" s="139"/>
      <c r="J54" s="580" t="s">
        <v>510</v>
      </c>
      <c r="K54" s="581"/>
      <c r="L54" s="581"/>
      <c r="M54" s="581"/>
      <c r="N54" s="581"/>
      <c r="O54" s="582"/>
      <c r="Q54" s="67"/>
      <c r="R54" s="574" t="s">
        <v>511</v>
      </c>
      <c r="S54" s="575"/>
      <c r="T54" s="575"/>
      <c r="U54" s="576"/>
    </row>
    <row r="55" spans="2:21" ht="15" customHeight="1">
      <c r="B55" s="85"/>
      <c r="C55" s="84">
        <v>2020</v>
      </c>
      <c r="D55" s="84">
        <v>2021</v>
      </c>
      <c r="E55" s="84">
        <v>2022</v>
      </c>
      <c r="F55" s="84">
        <v>2023</v>
      </c>
      <c r="G55" s="86">
        <v>2024</v>
      </c>
      <c r="H55" s="139"/>
      <c r="I55" s="139"/>
      <c r="J55" s="85"/>
      <c r="K55" s="84">
        <v>2020</v>
      </c>
      <c r="L55" s="84">
        <v>2021</v>
      </c>
      <c r="M55" s="84">
        <v>2022</v>
      </c>
      <c r="N55" s="84">
        <v>2023</v>
      </c>
      <c r="O55" s="86">
        <v>2024</v>
      </c>
      <c r="Q55" s="65">
        <v>2021</v>
      </c>
      <c r="R55" s="184">
        <v>2022</v>
      </c>
      <c r="S55" s="84">
        <v>2023</v>
      </c>
      <c r="T55" s="84">
        <v>2024</v>
      </c>
      <c r="U55" s="86" t="s">
        <v>512</v>
      </c>
    </row>
    <row r="56" spans="2:21" ht="15" customHeight="1">
      <c r="B56" s="85" t="s">
        <v>513</v>
      </c>
      <c r="C56" s="83"/>
      <c r="D56" s="83"/>
      <c r="E56" s="83"/>
      <c r="F56" s="83"/>
      <c r="G56" s="88"/>
      <c r="H56" s="139"/>
      <c r="I56" s="139"/>
      <c r="J56" s="85" t="s">
        <v>513</v>
      </c>
      <c r="K56" s="98"/>
      <c r="L56" s="98"/>
      <c r="M56" s="98"/>
      <c r="N56" s="98"/>
      <c r="O56" s="164"/>
      <c r="Q56" s="67"/>
      <c r="R56" s="99"/>
      <c r="S56" s="98"/>
      <c r="T56" s="98"/>
      <c r="U56" s="164"/>
    </row>
    <row r="57" spans="2:21" ht="15" customHeight="1">
      <c r="B57" s="140" t="s">
        <v>466</v>
      </c>
      <c r="C57" s="141"/>
      <c r="D57" s="141"/>
      <c r="E57" s="141"/>
      <c r="F57" s="141"/>
      <c r="G57" s="142"/>
      <c r="H57" s="139"/>
      <c r="I57" s="139"/>
      <c r="J57" s="165" t="s">
        <v>466</v>
      </c>
      <c r="K57" s="160"/>
      <c r="L57" s="160"/>
      <c r="M57" s="160"/>
      <c r="N57" s="160"/>
      <c r="O57" s="166"/>
      <c r="Q57" s="185"/>
      <c r="R57" s="187"/>
      <c r="S57" s="160"/>
      <c r="T57" s="159"/>
      <c r="U57" s="166"/>
    </row>
    <row r="58" spans="2:21" ht="15" customHeight="1">
      <c r="B58" s="140" t="s">
        <v>514</v>
      </c>
      <c r="C58" s="141"/>
      <c r="D58" s="141"/>
      <c r="E58" s="141"/>
      <c r="F58" s="141"/>
      <c r="G58" s="142"/>
      <c r="H58" s="139"/>
      <c r="I58" s="143"/>
      <c r="J58" s="165" t="s">
        <v>514</v>
      </c>
      <c r="K58" s="160"/>
      <c r="L58" s="160"/>
      <c r="M58" s="160"/>
      <c r="N58" s="160"/>
      <c r="O58" s="166"/>
      <c r="Q58" s="185"/>
      <c r="R58" s="187"/>
      <c r="S58" s="160"/>
      <c r="T58" s="159"/>
      <c r="U58" s="166"/>
    </row>
    <row r="59" spans="2:21" ht="15" customHeight="1">
      <c r="B59" s="144" t="s">
        <v>515</v>
      </c>
      <c r="C59" s="145">
        <f>'Balance sheet'!B66+'Balance sheet'!B67</f>
        <v>2325766</v>
      </c>
      <c r="D59" s="145">
        <f>'Balance sheet'!C66+'Balance sheet'!C67</f>
        <v>1192500</v>
      </c>
      <c r="E59" s="145">
        <f>'Balance sheet'!D66+'Balance sheet'!D67</f>
        <v>1268047</v>
      </c>
      <c r="F59" s="145">
        <f>'Balance sheet'!E66+'Balance sheet'!E67</f>
        <v>1367114</v>
      </c>
      <c r="G59" s="146">
        <f>'Balance sheet'!F66+'Balance sheet'!F67</f>
        <v>899391</v>
      </c>
      <c r="H59" s="139"/>
      <c r="I59" s="139"/>
      <c r="J59" s="165" t="s">
        <v>515</v>
      </c>
      <c r="K59" s="161">
        <f t="shared" ref="K59:K71" si="9">C59/$C$71</f>
        <v>0.34043074530656708</v>
      </c>
      <c r="L59" s="161">
        <f t="shared" ref="L59:L71" si="10">D59/$D$71</f>
        <v>0.16446989594055195</v>
      </c>
      <c r="M59" s="161">
        <f t="shared" ref="M59:M71" si="11">E59/$E$71</f>
        <v>0.14112175618403108</v>
      </c>
      <c r="N59" s="161">
        <f t="shared" ref="N59:N71" si="12">F59/$F$71</f>
        <v>0.12568738463145224</v>
      </c>
      <c r="O59" s="167">
        <f t="shared" ref="O59:O71" si="13">G59/$G$71</f>
        <v>7.5007193056636251E-2</v>
      </c>
      <c r="Q59" s="68">
        <f t="shared" ref="Q59" si="14">L59-K59</f>
        <v>-0.17596084936601514</v>
      </c>
      <c r="R59" s="161">
        <f>(E59/D59)-1</f>
        <v>6.3351781970649945E-2</v>
      </c>
      <c r="S59" s="161">
        <f t="shared" ref="S59:T59" si="15">(F59/E59)-1</f>
        <v>7.8125653071218881E-2</v>
      </c>
      <c r="T59" s="161">
        <f t="shared" si="15"/>
        <v>-0.34212435831978893</v>
      </c>
      <c r="U59" s="167">
        <f t="shared" ref="U59:U64" si="16">(((G59/D59)^(1/3))-1)</f>
        <v>-8.9744350172157317E-2</v>
      </c>
    </row>
    <row r="60" spans="2:21" ht="15" customHeight="1">
      <c r="B60" s="144" t="s">
        <v>478</v>
      </c>
      <c r="C60" s="145">
        <f>'Balance sheet'!B57</f>
        <v>1244471</v>
      </c>
      <c r="D60" s="145">
        <f>'Balance sheet'!C57</f>
        <v>1885278</v>
      </c>
      <c r="E60" s="145">
        <f>'Balance sheet'!D57</f>
        <v>2153497</v>
      </c>
      <c r="F60" s="145">
        <f>'Balance sheet'!E57</f>
        <v>2892260</v>
      </c>
      <c r="G60" s="146">
        <f>'Balance sheet'!F57</f>
        <v>2962879</v>
      </c>
      <c r="H60" s="139"/>
      <c r="I60" s="139"/>
      <c r="J60" s="168" t="s">
        <v>478</v>
      </c>
      <c r="K60" s="161">
        <f t="shared" si="9"/>
        <v>0.18215770203984788</v>
      </c>
      <c r="L60" s="161">
        <f t="shared" si="10"/>
        <v>0.2600180096260058</v>
      </c>
      <c r="M60" s="161">
        <f t="shared" si="11"/>
        <v>0.23966404918511883</v>
      </c>
      <c r="N60" s="161">
        <f t="shared" si="12"/>
        <v>0.2659036445198894</v>
      </c>
      <c r="O60" s="167">
        <f t="shared" si="13"/>
        <v>0.2470974661259156</v>
      </c>
      <c r="Q60" s="68">
        <f t="shared" ref="Q60" si="17">L60-K60</f>
        <v>7.7860307586157917E-2</v>
      </c>
      <c r="R60" s="161">
        <f t="shared" ref="R60:R93" si="18">(E60/D60)-1</f>
        <v>0.14227026465062442</v>
      </c>
      <c r="S60" s="161">
        <f t="shared" ref="S60:S93" si="19">(F60/E60)-1</f>
        <v>0.34305271843889273</v>
      </c>
      <c r="T60" s="161">
        <f t="shared" ref="T60:T93" si="20">(G60/F60)-1</f>
        <v>2.4416546230283664E-2</v>
      </c>
      <c r="U60" s="167">
        <f t="shared" si="16"/>
        <v>0.16264244024004459</v>
      </c>
    </row>
    <row r="61" spans="2:21" ht="15" customHeight="1">
      <c r="B61" s="144" t="s">
        <v>516</v>
      </c>
      <c r="C61" s="145">
        <f>'Balance sheet'!B21</f>
        <v>115120</v>
      </c>
      <c r="D61" s="145">
        <f>'Balance sheet'!C21</f>
        <v>164109</v>
      </c>
      <c r="E61" s="145">
        <f>'Balance sheet'!D21</f>
        <v>292008</v>
      </c>
      <c r="F61" s="145">
        <f>'Balance sheet'!E21</f>
        <v>341765</v>
      </c>
      <c r="G61" s="146">
        <f>'Balance sheet'!F21</f>
        <v>598899</v>
      </c>
      <c r="H61" s="139"/>
      <c r="I61" s="139"/>
      <c r="J61" s="168" t="str">
        <f t="shared" ref="J61:J63" si="21">B61</f>
        <v>Property, plant &amp; equipment</v>
      </c>
      <c r="K61" s="161">
        <f t="shared" si="9"/>
        <v>1.685052898687658E-2</v>
      </c>
      <c r="L61" s="161">
        <f t="shared" si="10"/>
        <v>2.2633954006631481E-2</v>
      </c>
      <c r="M61" s="161">
        <f t="shared" si="11"/>
        <v>3.2497755824339752E-2</v>
      </c>
      <c r="N61" s="161">
        <f t="shared" si="12"/>
        <v>3.1420605017992848E-2</v>
      </c>
      <c r="O61" s="167">
        <f t="shared" si="13"/>
        <v>4.9946833929210316E-2</v>
      </c>
      <c r="Q61" s="68">
        <f t="shared" ref="Q61" si="22">L61-K61</f>
        <v>5.7834250197549009E-3</v>
      </c>
      <c r="R61" s="161">
        <f t="shared" si="18"/>
        <v>0.77935396596164752</v>
      </c>
      <c r="S61" s="161">
        <f t="shared" si="19"/>
        <v>0.17039601654749181</v>
      </c>
      <c r="T61" s="161">
        <f t="shared" si="20"/>
        <v>0.75237078109227107</v>
      </c>
      <c r="U61" s="167">
        <f t="shared" si="16"/>
        <v>0.53959702398673715</v>
      </c>
    </row>
    <row r="62" spans="2:21" ht="15" customHeight="1">
      <c r="B62" s="144" t="s">
        <v>470</v>
      </c>
      <c r="C62" s="145">
        <f>'Balance sheet'!B11+'Balance sheet'!B12+'Balance sheet'!B13+'Balance sheet'!B14+'Balance sheet'!B17+'Balance sheet'!B18</f>
        <v>410250</v>
      </c>
      <c r="D62" s="145">
        <f>'Balance sheet'!C11+'Balance sheet'!C12+'Balance sheet'!C13+'Balance sheet'!C14+'Balance sheet'!C17+'Balance sheet'!C18</f>
        <v>347004</v>
      </c>
      <c r="E62" s="145">
        <f>'Balance sheet'!D11+'Balance sheet'!D12+'Balance sheet'!D13+'Balance sheet'!D14+'Balance sheet'!D17+'Balance sheet'!D18</f>
        <v>493113</v>
      </c>
      <c r="F62" s="145">
        <f>'Balance sheet'!E11+'Balance sheet'!E12+'Balance sheet'!E13+'Balance sheet'!E14+'Balance sheet'!E17+'Balance sheet'!E18</f>
        <v>1140269</v>
      </c>
      <c r="G62" s="146">
        <f>'Balance sheet'!F11+'Balance sheet'!F12+'Balance sheet'!F13+'Balance sheet'!F14+'Balance sheet'!F17+'Balance sheet'!F18</f>
        <v>947664</v>
      </c>
      <c r="H62" s="139"/>
      <c r="I62" s="139"/>
      <c r="J62" s="169" t="str">
        <f t="shared" si="21"/>
        <v>Other intangible assets</v>
      </c>
      <c r="K62" s="161">
        <f t="shared" si="9"/>
        <v>6.0049769951929448E-2</v>
      </c>
      <c r="L62" s="161">
        <f t="shared" si="10"/>
        <v>4.7858877795350349E-2</v>
      </c>
      <c r="M62" s="161">
        <f t="shared" si="11"/>
        <v>5.4878859030600698E-2</v>
      </c>
      <c r="N62" s="161">
        <f t="shared" si="12"/>
        <v>0.10483209767899489</v>
      </c>
      <c r="O62" s="167">
        <f t="shared" si="13"/>
        <v>7.9033053033468359E-2</v>
      </c>
      <c r="Q62" s="68">
        <f t="shared" ref="Q62" si="23">L62-K62</f>
        <v>-1.2190892156579099E-2</v>
      </c>
      <c r="R62" s="161">
        <f t="shared" si="18"/>
        <v>0.42105854687554034</v>
      </c>
      <c r="S62" s="161">
        <f t="shared" si="19"/>
        <v>1.3123888439363798</v>
      </c>
      <c r="T62" s="161">
        <f t="shared" si="20"/>
        <v>-0.16891189710498133</v>
      </c>
      <c r="U62" s="167">
        <f t="shared" si="16"/>
        <v>0.39778368572346356</v>
      </c>
    </row>
    <row r="63" spans="2:21" ht="15" customHeight="1">
      <c r="B63" s="144" t="s">
        <v>469</v>
      </c>
      <c r="C63" s="145">
        <f>'Balance sheet'!B15</f>
        <v>2059</v>
      </c>
      <c r="D63" s="145">
        <f>'Balance sheet'!C15</f>
        <v>1625</v>
      </c>
      <c r="E63" s="145">
        <f>'Balance sheet'!D15</f>
        <v>1190</v>
      </c>
      <c r="F63" s="145">
        <f>'Balance sheet'!E15</f>
        <v>755</v>
      </c>
      <c r="G63" s="146">
        <f>'Balance sheet'!F15</f>
        <v>320</v>
      </c>
      <c r="H63" s="139"/>
      <c r="I63" s="139"/>
      <c r="J63" s="169" t="str">
        <f t="shared" si="21"/>
        <v>Goodwill</v>
      </c>
      <c r="K63" s="161">
        <f t="shared" si="9"/>
        <v>3.0138324517007371E-4</v>
      </c>
      <c r="L63" s="161">
        <f t="shared" si="10"/>
        <v>2.2412040327328883E-4</v>
      </c>
      <c r="M63" s="161">
        <f t="shared" si="11"/>
        <v>1.3243585597300179E-4</v>
      </c>
      <c r="N63" s="161">
        <f t="shared" si="12"/>
        <v>6.9411896445173156E-5</v>
      </c>
      <c r="O63" s="167">
        <f t="shared" si="13"/>
        <v>2.668728259246935E-5</v>
      </c>
      <c r="Q63" s="68">
        <f t="shared" ref="Q63" si="24">L63-K63</f>
        <v>-7.7262841896784878E-5</v>
      </c>
      <c r="R63" s="161">
        <f t="shared" si="18"/>
        <v>-0.26769230769230767</v>
      </c>
      <c r="S63" s="161">
        <f t="shared" si="19"/>
        <v>-0.36554621848739499</v>
      </c>
      <c r="T63" s="161">
        <f t="shared" si="20"/>
        <v>-0.57615894039735105</v>
      </c>
      <c r="U63" s="167">
        <f t="shared" si="16"/>
        <v>-0.41821095717028867</v>
      </c>
    </row>
    <row r="64" spans="2:21" ht="15" customHeight="1">
      <c r="B64" s="144" t="s">
        <v>517</v>
      </c>
      <c r="C64" s="145">
        <f>'Balance sheet'!B103+'Balance sheet'!B80+'Balance sheet'!B76+'Balance sheet'!B68</f>
        <v>2610934</v>
      </c>
      <c r="D64" s="145">
        <f>'Balance sheet'!C103+'Balance sheet'!C80+'Balance sheet'!C76+'Balance sheet'!C68</f>
        <v>3175648</v>
      </c>
      <c r="E64" s="145">
        <f>'Balance sheet'!D103+'Balance sheet'!D80+'Balance sheet'!D76+'Balance sheet'!D68</f>
        <v>4637423</v>
      </c>
      <c r="F64" s="145">
        <f>'Balance sheet'!E103+'Balance sheet'!E80+'Balance sheet'!E76+'Balance sheet'!E68</f>
        <v>4422528</v>
      </c>
      <c r="G64" s="146">
        <f>'Balance sheet'!F103+'Balance sheet'!F80+'Balance sheet'!F76+'Balance sheet'!F68</f>
        <v>6106805</v>
      </c>
      <c r="H64" s="139"/>
      <c r="I64" s="139"/>
      <c r="J64" s="169" t="s">
        <v>517</v>
      </c>
      <c r="K64" s="161">
        <f t="shared" si="9"/>
        <v>0.38217181245501758</v>
      </c>
      <c r="L64" s="161">
        <f t="shared" si="10"/>
        <v>0.43798616025477732</v>
      </c>
      <c r="M64" s="161">
        <f t="shared" si="11"/>
        <v>0.51610175169234107</v>
      </c>
      <c r="N64" s="161">
        <f t="shared" si="12"/>
        <v>0.40659080206871356</v>
      </c>
      <c r="O64" s="167">
        <f t="shared" si="13"/>
        <v>0.50929384616282747</v>
      </c>
      <c r="Q64" s="68">
        <f t="shared" ref="Q64" si="25">L64-K64</f>
        <v>5.5814347799759745E-2</v>
      </c>
      <c r="R64" s="161">
        <f t="shared" si="18"/>
        <v>0.46030762855329055</v>
      </c>
      <c r="S64" s="161">
        <f t="shared" si="19"/>
        <v>-4.6339313881869293E-2</v>
      </c>
      <c r="T64" s="161">
        <f t="shared" si="20"/>
        <v>0.38084032480970165</v>
      </c>
      <c r="U64" s="167">
        <f t="shared" si="16"/>
        <v>0.24354230639993202</v>
      </c>
    </row>
    <row r="65" spans="2:21" ht="15" customHeight="1">
      <c r="B65" s="144" t="s">
        <v>518</v>
      </c>
      <c r="C65" s="145">
        <f>'Balance sheet'!B77+'Balance sheet'!B79+'Balance sheet'!B81</f>
        <v>0</v>
      </c>
      <c r="D65" s="145">
        <f>'Balance sheet'!C77+'Balance sheet'!C79+'Balance sheet'!C81</f>
        <v>0</v>
      </c>
      <c r="E65" s="145">
        <f>'Balance sheet'!D77+'Balance sheet'!D79+'Balance sheet'!D81</f>
        <v>0</v>
      </c>
      <c r="F65" s="145">
        <f>'Balance sheet'!E77+'Balance sheet'!E79+'Balance sheet'!E81</f>
        <v>0</v>
      </c>
      <c r="G65" s="146">
        <f>'Balance sheet'!F77+'Balance sheet'!F79+'Balance sheet'!F81</f>
        <v>0</v>
      </c>
      <c r="H65" s="139"/>
      <c r="I65" s="139"/>
      <c r="J65" s="168" t="str">
        <f>B65</f>
        <v>Other non-current assets</v>
      </c>
      <c r="K65" s="161">
        <f t="shared" si="9"/>
        <v>0</v>
      </c>
      <c r="L65" s="161">
        <f t="shared" si="10"/>
        <v>0</v>
      </c>
      <c r="M65" s="161">
        <f t="shared" si="11"/>
        <v>0</v>
      </c>
      <c r="N65" s="161">
        <f t="shared" si="12"/>
        <v>0</v>
      </c>
      <c r="O65" s="167">
        <f t="shared" si="13"/>
        <v>0</v>
      </c>
      <c r="Q65" s="68">
        <f t="shared" ref="Q65" si="26">L65-K65</f>
        <v>0</v>
      </c>
      <c r="R65" s="161">
        <v>0</v>
      </c>
      <c r="S65" s="161">
        <v>0</v>
      </c>
      <c r="T65" s="161">
        <v>0</v>
      </c>
      <c r="U65" s="167">
        <v>0</v>
      </c>
    </row>
    <row r="66" spans="2:21" ht="14.4">
      <c r="B66" s="93" t="s">
        <v>519</v>
      </c>
      <c r="C66" s="147">
        <f t="shared" ref="C66:G66" si="27">SUM(C59:C65)</f>
        <v>6708600</v>
      </c>
      <c r="D66" s="147">
        <f t="shared" si="27"/>
        <v>6766164</v>
      </c>
      <c r="E66" s="147">
        <f t="shared" si="27"/>
        <v>8845278</v>
      </c>
      <c r="F66" s="147">
        <f t="shared" si="27"/>
        <v>10164691</v>
      </c>
      <c r="G66" s="148">
        <f t="shared" si="27"/>
        <v>11515958</v>
      </c>
      <c r="H66" s="139"/>
      <c r="I66" s="139"/>
      <c r="J66" s="169" t="s">
        <v>519</v>
      </c>
      <c r="K66" s="161">
        <f t="shared" si="9"/>
        <v>0.98196194198540865</v>
      </c>
      <c r="L66" s="161">
        <f t="shared" si="10"/>
        <v>0.93319101802659021</v>
      </c>
      <c r="M66" s="161">
        <f t="shared" si="11"/>
        <v>0.98439660777240445</v>
      </c>
      <c r="N66" s="161">
        <f t="shared" si="12"/>
        <v>0.93450394581348817</v>
      </c>
      <c r="O66" s="167">
        <f t="shared" si="13"/>
        <v>0.96040507959065047</v>
      </c>
      <c r="Q66" s="68">
        <f t="shared" ref="Q66" si="28">L66-K66</f>
        <v>-4.8770923958818435E-2</v>
      </c>
      <c r="R66" s="161">
        <f t="shared" si="18"/>
        <v>0.30728105319350818</v>
      </c>
      <c r="S66" s="161">
        <f t="shared" si="19"/>
        <v>0.14916580349424846</v>
      </c>
      <c r="T66" s="161">
        <f t="shared" si="20"/>
        <v>0.13293734162701054</v>
      </c>
      <c r="U66" s="167">
        <f t="shared" ref="U66:U67" si="29">(((G66/D66)^(1/3))-1)</f>
        <v>0.19394920506736613</v>
      </c>
    </row>
    <row r="67" spans="2:21" ht="14.4">
      <c r="B67" s="144" t="s">
        <v>479</v>
      </c>
      <c r="C67" s="145">
        <f>'Balance sheet'!B98</f>
        <v>72963</v>
      </c>
      <c r="D67" s="145">
        <f>'Balance sheet'!C98</f>
        <v>434133</v>
      </c>
      <c r="E67" s="145">
        <f>'Balance sheet'!D98</f>
        <v>89934</v>
      </c>
      <c r="F67" s="145">
        <f>'Balance sheet'!E98</f>
        <v>662137</v>
      </c>
      <c r="G67" s="149">
        <f>'Balance sheet'!F98</f>
        <v>424502</v>
      </c>
      <c r="H67" s="139"/>
      <c r="I67" s="139"/>
      <c r="J67" s="170" t="str">
        <f t="shared" ref="J67:J68" si="30">B67</f>
        <v>Cash and cash equivalents</v>
      </c>
      <c r="K67" s="162">
        <f t="shared" si="9"/>
        <v>1.0679857074960702E-2</v>
      </c>
      <c r="L67" s="162">
        <f t="shared" si="10"/>
        <v>5.9875731097995509E-2</v>
      </c>
      <c r="M67" s="162">
        <f t="shared" si="11"/>
        <v>1.0008811992500791E-2</v>
      </c>
      <c r="N67" s="162">
        <f t="shared" si="12"/>
        <v>6.0874417054990221E-2</v>
      </c>
      <c r="O67" s="171">
        <f t="shared" si="13"/>
        <v>3.5402515109588827E-2</v>
      </c>
      <c r="Q67" s="69">
        <f t="shared" ref="Q67" si="31">L67-K67</f>
        <v>4.9195874023034811E-2</v>
      </c>
      <c r="R67" s="162">
        <f t="shared" si="18"/>
        <v>-0.79284228565900317</v>
      </c>
      <c r="S67" s="162">
        <f t="shared" si="19"/>
        <v>6.3624769275246296</v>
      </c>
      <c r="T67" s="162">
        <f t="shared" si="20"/>
        <v>-0.35889098479619774</v>
      </c>
      <c r="U67" s="171">
        <f t="shared" si="29"/>
        <v>-7.4501826401731641E-3</v>
      </c>
    </row>
    <row r="68" spans="2:21" ht="14.4">
      <c r="B68" s="144" t="s">
        <v>520</v>
      </c>
      <c r="C68" s="145"/>
      <c r="D68" s="145"/>
      <c r="E68" s="145"/>
      <c r="F68" s="145"/>
      <c r="G68" s="150"/>
      <c r="H68" s="139"/>
      <c r="I68" s="139"/>
      <c r="J68" s="169" t="str">
        <f t="shared" si="30"/>
        <v>Investment in associated companies</v>
      </c>
      <c r="K68" s="161">
        <f t="shared" si="9"/>
        <v>0</v>
      </c>
      <c r="L68" s="161">
        <f t="shared" si="10"/>
        <v>0</v>
      </c>
      <c r="M68" s="161">
        <f t="shared" si="11"/>
        <v>0</v>
      </c>
      <c r="N68" s="161">
        <f t="shared" si="12"/>
        <v>0</v>
      </c>
      <c r="O68" s="167">
        <f t="shared" si="13"/>
        <v>0</v>
      </c>
      <c r="Q68" s="68">
        <f t="shared" ref="Q68" si="32">L68-K68</f>
        <v>0</v>
      </c>
      <c r="R68" s="161">
        <v>0</v>
      </c>
      <c r="S68" s="161">
        <v>0</v>
      </c>
      <c r="T68" s="161">
        <v>0</v>
      </c>
      <c r="U68" s="167">
        <v>0</v>
      </c>
    </row>
    <row r="69" spans="2:21" ht="14.4">
      <c r="B69" s="144" t="s">
        <v>521</v>
      </c>
      <c r="C69" s="145">
        <f>'Balance sheet'!B33+'Balance sheet'!B37</f>
        <v>50270</v>
      </c>
      <c r="D69" s="145">
        <f>'Balance sheet'!C33+'Balance sheet'!C37</f>
        <v>50270</v>
      </c>
      <c r="E69" s="145">
        <f>'Balance sheet'!D33+'Balance sheet'!D37</f>
        <v>50270</v>
      </c>
      <c r="F69" s="145">
        <f>'Balance sheet'!E33+'Balance sheet'!E37</f>
        <v>50270</v>
      </c>
      <c r="G69" s="149">
        <f>'Balance sheet'!F33+'Balance sheet'!F37</f>
        <v>50270</v>
      </c>
      <c r="H69" s="139"/>
      <c r="I69" s="139"/>
      <c r="J69" s="169" t="s">
        <v>521</v>
      </c>
      <c r="K69" s="161">
        <f t="shared" si="9"/>
        <v>7.3582009396306967E-3</v>
      </c>
      <c r="L69" s="161">
        <f t="shared" si="10"/>
        <v>6.9332508754142951E-3</v>
      </c>
      <c r="M69" s="161">
        <f t="shared" si="11"/>
        <v>5.5945802350947892E-3</v>
      </c>
      <c r="N69" s="161">
        <f t="shared" si="12"/>
        <v>4.6216371315216612E-3</v>
      </c>
      <c r="O69" s="167">
        <f t="shared" si="13"/>
        <v>4.1924052997607316E-3</v>
      </c>
      <c r="Q69" s="68">
        <f t="shared" ref="Q69" si="33">L69-K69</f>
        <v>-4.2495006421640162E-4</v>
      </c>
      <c r="R69" s="161">
        <f t="shared" si="18"/>
        <v>0</v>
      </c>
      <c r="S69" s="161">
        <f t="shared" si="19"/>
        <v>0</v>
      </c>
      <c r="T69" s="161">
        <f t="shared" si="20"/>
        <v>0</v>
      </c>
      <c r="U69" s="167">
        <f t="shared" ref="U69:U71" si="34">(((G69/D69)^(1/3))-1)</f>
        <v>0</v>
      </c>
    </row>
    <row r="70" spans="2:21" ht="14.4">
      <c r="B70" s="93" t="s">
        <v>522</v>
      </c>
      <c r="C70" s="147">
        <f t="shared" ref="C70:G70" si="35">C67+C68+C69</f>
        <v>123233</v>
      </c>
      <c r="D70" s="147">
        <f t="shared" si="35"/>
        <v>484403</v>
      </c>
      <c r="E70" s="147">
        <f t="shared" si="35"/>
        <v>140204</v>
      </c>
      <c r="F70" s="147">
        <f t="shared" si="35"/>
        <v>712407</v>
      </c>
      <c r="G70" s="148">
        <f t="shared" si="35"/>
        <v>474772</v>
      </c>
      <c r="H70" s="139"/>
      <c r="I70" s="139"/>
      <c r="J70" s="170" t="s">
        <v>522</v>
      </c>
      <c r="K70" s="162">
        <f t="shared" si="9"/>
        <v>1.80380580145914E-2</v>
      </c>
      <c r="L70" s="162">
        <f t="shared" si="10"/>
        <v>6.6808981973409801E-2</v>
      </c>
      <c r="M70" s="162">
        <f t="shared" si="11"/>
        <v>1.5603392227595582E-2</v>
      </c>
      <c r="N70" s="162">
        <f t="shared" si="12"/>
        <v>6.5496054186511873E-2</v>
      </c>
      <c r="O70" s="171">
        <f t="shared" si="13"/>
        <v>3.9594920409349553E-2</v>
      </c>
      <c r="Q70" s="69">
        <f t="shared" ref="Q70" si="36">L70-K70</f>
        <v>4.87709239588184E-2</v>
      </c>
      <c r="R70" s="162">
        <f t="shared" si="18"/>
        <v>-0.71056331195306388</v>
      </c>
      <c r="S70" s="162">
        <f t="shared" si="19"/>
        <v>4.0812173689766338</v>
      </c>
      <c r="T70" s="162">
        <f t="shared" si="20"/>
        <v>-0.33356634620378522</v>
      </c>
      <c r="U70" s="171">
        <f t="shared" si="34"/>
        <v>-6.671815973571027E-3</v>
      </c>
    </row>
    <row r="71" spans="2:21" ht="14.4">
      <c r="B71" s="93" t="s">
        <v>483</v>
      </c>
      <c r="C71" s="147">
        <f t="shared" ref="C71:G71" si="37">C66+C70</f>
        <v>6831833</v>
      </c>
      <c r="D71" s="147">
        <f t="shared" si="37"/>
        <v>7250567</v>
      </c>
      <c r="E71" s="147">
        <f t="shared" si="37"/>
        <v>8985482</v>
      </c>
      <c r="F71" s="147">
        <f t="shared" si="37"/>
        <v>10877098</v>
      </c>
      <c r="G71" s="148">
        <f t="shared" si="37"/>
        <v>11990730</v>
      </c>
      <c r="H71" s="139"/>
      <c r="I71" s="139"/>
      <c r="J71" s="170" t="s">
        <v>483</v>
      </c>
      <c r="K71" s="162">
        <f t="shared" si="9"/>
        <v>1</v>
      </c>
      <c r="L71" s="162">
        <f t="shared" si="10"/>
        <v>1</v>
      </c>
      <c r="M71" s="162">
        <f t="shared" si="11"/>
        <v>1</v>
      </c>
      <c r="N71" s="162">
        <f t="shared" si="12"/>
        <v>1</v>
      </c>
      <c r="O71" s="171">
        <f t="shared" si="13"/>
        <v>1</v>
      </c>
      <c r="Q71" s="69"/>
      <c r="R71" s="162">
        <f t="shared" si="18"/>
        <v>0.23927990735069415</v>
      </c>
      <c r="S71" s="162">
        <f t="shared" si="19"/>
        <v>0.21051914632960145</v>
      </c>
      <c r="T71" s="162">
        <f t="shared" si="20"/>
        <v>0.10238319081063718</v>
      </c>
      <c r="U71" s="171">
        <f t="shared" si="34"/>
        <v>0.18256372049242597</v>
      </c>
    </row>
    <row r="72" spans="2:21" ht="14.4">
      <c r="B72" s="140" t="s">
        <v>523</v>
      </c>
      <c r="C72" s="151"/>
      <c r="D72" s="151"/>
      <c r="E72" s="151"/>
      <c r="F72" s="151"/>
      <c r="G72" s="142"/>
      <c r="H72" s="139"/>
      <c r="I72" s="139"/>
      <c r="J72" s="165" t="s">
        <v>523</v>
      </c>
      <c r="K72" s="163"/>
      <c r="L72" s="163"/>
      <c r="M72" s="163"/>
      <c r="N72" s="163"/>
      <c r="O72" s="167"/>
      <c r="Q72" s="186">
        <f t="shared" ref="Q72" si="38">L72-K72</f>
        <v>0</v>
      </c>
      <c r="R72" s="163"/>
      <c r="S72" s="163"/>
      <c r="T72" s="163"/>
      <c r="U72" s="167"/>
    </row>
    <row r="73" spans="2:21" ht="14.4">
      <c r="B73" s="140" t="s">
        <v>524</v>
      </c>
      <c r="C73" s="151"/>
      <c r="D73" s="151"/>
      <c r="E73" s="151"/>
      <c r="F73" s="151"/>
      <c r="G73" s="142"/>
      <c r="H73" s="139"/>
      <c r="I73" s="139"/>
      <c r="J73" s="165" t="s">
        <v>524</v>
      </c>
      <c r="K73" s="163"/>
      <c r="L73" s="163"/>
      <c r="M73" s="163"/>
      <c r="N73" s="163"/>
      <c r="O73" s="167"/>
      <c r="Q73" s="186">
        <f t="shared" ref="Q73" si="39">L73-K73</f>
        <v>0</v>
      </c>
      <c r="R73" s="163"/>
      <c r="S73" s="163"/>
      <c r="T73" s="163"/>
      <c r="U73" s="167"/>
    </row>
    <row r="74" spans="2:21" ht="14.4">
      <c r="B74" s="144" t="s">
        <v>525</v>
      </c>
      <c r="C74" s="145">
        <f>'Balance sheet'!B161+'Balance sheet'!B162</f>
        <v>1047973</v>
      </c>
      <c r="D74" s="145">
        <f>'Balance sheet'!C161+'Balance sheet'!C162</f>
        <v>1023644</v>
      </c>
      <c r="E74" s="145">
        <f>'Balance sheet'!D161+'Balance sheet'!D162</f>
        <v>1770389</v>
      </c>
      <c r="F74" s="145">
        <f>'Balance sheet'!E161+'Balance sheet'!E162</f>
        <v>1844400</v>
      </c>
      <c r="G74" s="146">
        <f>'Balance sheet'!F161+'Balance sheet'!F162</f>
        <v>1259596</v>
      </c>
      <c r="H74" s="139"/>
      <c r="I74" s="139"/>
      <c r="J74" s="168" t="s">
        <v>525</v>
      </c>
      <c r="K74" s="161">
        <f t="shared" ref="K74:O74" si="40">C74/$G$71</f>
        <v>8.7398598750868375E-2</v>
      </c>
      <c r="L74" s="161">
        <f t="shared" si="40"/>
        <v>8.5369614694017798E-2</v>
      </c>
      <c r="M74" s="161">
        <f t="shared" si="40"/>
        <v>0.14764647356749755</v>
      </c>
      <c r="N74" s="161">
        <f t="shared" si="40"/>
        <v>0.1538188250423452</v>
      </c>
      <c r="O74" s="167">
        <f t="shared" si="40"/>
        <v>0.10504748251357507</v>
      </c>
      <c r="Q74" s="68">
        <f t="shared" ref="Q74" si="41">L74-K74</f>
        <v>-2.0289840568505774E-3</v>
      </c>
      <c r="R74" s="161">
        <f t="shared" si="18"/>
        <v>0.72949677817678804</v>
      </c>
      <c r="S74" s="161">
        <f t="shared" si="19"/>
        <v>4.1804936655164493E-2</v>
      </c>
      <c r="T74" s="161">
        <f t="shared" si="20"/>
        <v>-0.31707004988071996</v>
      </c>
      <c r="U74" s="167">
        <f t="shared" ref="U74:U79" si="42">(((G74/D74)^(1/3))-1)</f>
        <v>7.1587015373791862E-2</v>
      </c>
    </row>
    <row r="75" spans="2:21" ht="14.4">
      <c r="B75" s="144" t="s">
        <v>526</v>
      </c>
      <c r="C75" s="145">
        <f>'Balance sheet'!B177+'Balance sheet'!B178</f>
        <v>439097</v>
      </c>
      <c r="D75" s="145">
        <f>'Balance sheet'!C177+'Balance sheet'!C178</f>
        <v>438760</v>
      </c>
      <c r="E75" s="145">
        <f>'Balance sheet'!D177+'Balance sheet'!D178</f>
        <v>541150</v>
      </c>
      <c r="F75" s="145">
        <f>'Balance sheet'!E177+'Balance sheet'!E178</f>
        <v>483612</v>
      </c>
      <c r="G75" s="146">
        <f>'Balance sheet'!F177+'Balance sheet'!F178</f>
        <v>536222</v>
      </c>
      <c r="H75" s="139"/>
      <c r="I75" s="139"/>
      <c r="J75" s="168" t="s">
        <v>526</v>
      </c>
      <c r="K75" s="161">
        <f t="shared" ref="K75:O75" si="43">C75/$G$71</f>
        <v>3.6619705389079729E-2</v>
      </c>
      <c r="L75" s="161">
        <f t="shared" si="43"/>
        <v>3.6591600344599538E-2</v>
      </c>
      <c r="M75" s="161">
        <f t="shared" si="43"/>
        <v>4.5130696796608714E-2</v>
      </c>
      <c r="N75" s="161">
        <f t="shared" si="43"/>
        <v>4.033215659096652E-2</v>
      </c>
      <c r="O75" s="167">
        <f t="shared" si="43"/>
        <v>4.4719712644684682E-2</v>
      </c>
      <c r="Q75" s="68">
        <f t="shared" ref="Q75" si="44">L75-K75</f>
        <v>-2.8105044480190855E-5</v>
      </c>
      <c r="R75" s="161">
        <f t="shared" si="18"/>
        <v>0.23336220257088147</v>
      </c>
      <c r="S75" s="161">
        <f t="shared" si="19"/>
        <v>-0.1063254180911023</v>
      </c>
      <c r="T75" s="161">
        <f t="shared" si="20"/>
        <v>0.1087855553625634</v>
      </c>
      <c r="U75" s="167">
        <f t="shared" si="42"/>
        <v>6.9151378179121759E-2</v>
      </c>
    </row>
    <row r="76" spans="2:21" ht="14.4">
      <c r="B76" s="144" t="s">
        <v>527</v>
      </c>
      <c r="C76" s="145">
        <f>'Balance sheet'!B173+'Balance sheet'!B174</f>
        <v>25687</v>
      </c>
      <c r="D76" s="145">
        <f>'Balance sheet'!C173+'Balance sheet'!C174</f>
        <v>43393</v>
      </c>
      <c r="E76" s="145">
        <f>'Balance sheet'!D173+'Balance sheet'!D174</f>
        <v>155494</v>
      </c>
      <c r="F76" s="145">
        <f>'Balance sheet'!E173+'Balance sheet'!E174</f>
        <v>75574</v>
      </c>
      <c r="G76" s="146">
        <f>'Balance sheet'!F173+'Balance sheet'!F174</f>
        <v>105048</v>
      </c>
      <c r="H76" s="139"/>
      <c r="I76" s="139"/>
      <c r="J76" s="168" t="s">
        <v>527</v>
      </c>
      <c r="K76" s="161">
        <f t="shared" ref="K76:O76" si="45">C76/$G$71</f>
        <v>2.1422382123523756E-3</v>
      </c>
      <c r="L76" s="161">
        <f t="shared" si="45"/>
        <v>3.6188789172969453E-3</v>
      </c>
      <c r="M76" s="161">
        <f t="shared" si="45"/>
        <v>1.2967850998229466E-2</v>
      </c>
      <c r="N76" s="161">
        <f t="shared" si="45"/>
        <v>6.3027021707602457E-3</v>
      </c>
      <c r="O76" s="167">
        <f t="shared" si="45"/>
        <v>8.7607676930428757E-3</v>
      </c>
      <c r="Q76" s="68">
        <f t="shared" ref="Q76" si="46">L76-K76</f>
        <v>1.4766407049445697E-3</v>
      </c>
      <c r="R76" s="161">
        <f t="shared" si="18"/>
        <v>2.5833890258797503</v>
      </c>
      <c r="S76" s="161">
        <f t="shared" si="19"/>
        <v>-0.51397481574851756</v>
      </c>
      <c r="T76" s="161">
        <f t="shared" si="20"/>
        <v>0.39000185248895125</v>
      </c>
      <c r="U76" s="167">
        <f t="shared" si="42"/>
        <v>0.34273209739979049</v>
      </c>
    </row>
    <row r="77" spans="2:21" ht="14.4">
      <c r="B77" s="144" t="s">
        <v>528</v>
      </c>
      <c r="C77" s="145">
        <f>'Balance sheet'!B175++'Balance sheet'!B176</f>
        <v>40044</v>
      </c>
      <c r="D77" s="145">
        <f>'Balance sheet'!C175++'Balance sheet'!C176</f>
        <v>10997</v>
      </c>
      <c r="E77" s="145">
        <f>'Balance sheet'!D175++'Balance sheet'!D176</f>
        <v>30014</v>
      </c>
      <c r="F77" s="145">
        <f>'Balance sheet'!E175++'Balance sheet'!E176</f>
        <v>56938</v>
      </c>
      <c r="G77" s="146">
        <f>'Balance sheet'!F175++'Balance sheet'!F176</f>
        <v>63738</v>
      </c>
      <c r="H77" s="139"/>
      <c r="I77" s="139"/>
      <c r="J77" s="168" t="s">
        <v>528</v>
      </c>
      <c r="K77" s="161">
        <f t="shared" ref="K77:O77" si="47">C77/$G$71</f>
        <v>3.339579825415133E-3</v>
      </c>
      <c r="L77" s="161">
        <f t="shared" si="47"/>
        <v>9.1712514584182947E-4</v>
      </c>
      <c r="M77" s="161">
        <f t="shared" si="47"/>
        <v>2.5031003116574219E-3</v>
      </c>
      <c r="N77" s="161">
        <f t="shared" si="47"/>
        <v>4.7485015507813116E-3</v>
      </c>
      <c r="O77" s="167">
        <f t="shared" si="47"/>
        <v>5.3156063058712854E-3</v>
      </c>
      <c r="Q77" s="68">
        <f t="shared" ref="Q77" si="48">L77-K77</f>
        <v>-2.4224546795733035E-3</v>
      </c>
      <c r="R77" s="161">
        <f t="shared" si="18"/>
        <v>1.729289806310812</v>
      </c>
      <c r="S77" s="161">
        <f t="shared" si="19"/>
        <v>0.89704804424601847</v>
      </c>
      <c r="T77" s="161">
        <f t="shared" si="20"/>
        <v>0.1194281499174541</v>
      </c>
      <c r="U77" s="167">
        <f t="shared" si="42"/>
        <v>0.79628290009527003</v>
      </c>
    </row>
    <row r="78" spans="2:21" ht="14.4">
      <c r="B78" s="140" t="s">
        <v>505</v>
      </c>
      <c r="C78" s="145">
        <f>'Balance sheet'!B165+'Balance sheet'!B185</f>
        <v>201200</v>
      </c>
      <c r="D78" s="145">
        <f>'Balance sheet'!C165+'Balance sheet'!C185</f>
        <v>247066</v>
      </c>
      <c r="E78" s="145">
        <f>'Balance sheet'!D165+'Balance sheet'!D185</f>
        <v>264645</v>
      </c>
      <c r="F78" s="145">
        <f>'Balance sheet'!E165+'Balance sheet'!E185</f>
        <v>474685</v>
      </c>
      <c r="G78" s="146">
        <f>'Balance sheet'!F165+'Balance sheet'!F185</f>
        <v>509596</v>
      </c>
      <c r="H78" s="139"/>
      <c r="I78" s="139"/>
      <c r="J78" s="168" t="s">
        <v>505</v>
      </c>
      <c r="K78" s="161">
        <f t="shared" ref="K78:O78" si="49">C78/$G$71</f>
        <v>1.6779628930015104E-2</v>
      </c>
      <c r="L78" s="161">
        <f t="shared" si="49"/>
        <v>2.0604750503096975E-2</v>
      </c>
      <c r="M78" s="161">
        <f t="shared" si="49"/>
        <v>2.2070799692762658E-2</v>
      </c>
      <c r="N78" s="161">
        <f t="shared" si="49"/>
        <v>3.9587664804394726E-2</v>
      </c>
      <c r="O78" s="167">
        <f t="shared" si="49"/>
        <v>4.2499163937475035E-2</v>
      </c>
      <c r="Q78" s="68">
        <f t="shared" ref="Q78" si="50">L78-K78</f>
        <v>3.8251215730818709E-3</v>
      </c>
      <c r="R78" s="161">
        <f t="shared" si="18"/>
        <v>7.1151028470125333E-2</v>
      </c>
      <c r="S78" s="161">
        <f t="shared" si="19"/>
        <v>0.79366698785165024</v>
      </c>
      <c r="T78" s="161">
        <f t="shared" si="20"/>
        <v>7.3545614460115649E-2</v>
      </c>
      <c r="U78" s="167">
        <f t="shared" si="42"/>
        <v>0.27292947299924486</v>
      </c>
    </row>
    <row r="79" spans="2:21" ht="14.4">
      <c r="B79" s="93" t="s">
        <v>529</v>
      </c>
      <c r="C79" s="147">
        <f t="shared" ref="C79:G79" si="51">SUM(C74:C78)</f>
        <v>1754001</v>
      </c>
      <c r="D79" s="147">
        <f t="shared" si="51"/>
        <v>1763860</v>
      </c>
      <c r="E79" s="147">
        <f t="shared" si="51"/>
        <v>2761692</v>
      </c>
      <c r="F79" s="147">
        <f t="shared" si="51"/>
        <v>2935209</v>
      </c>
      <c r="G79" s="148">
        <f t="shared" si="51"/>
        <v>2474200</v>
      </c>
      <c r="H79" s="139"/>
      <c r="I79" s="139"/>
      <c r="J79" s="170" t="s">
        <v>529</v>
      </c>
      <c r="K79" s="162">
        <f>C79/$C$71</f>
        <v>0.25673944313334357</v>
      </c>
      <c r="L79" s="162">
        <f>D79/$D$71</f>
        <v>0.24327200893392201</v>
      </c>
      <c r="M79" s="162">
        <f>E79/$E$71</f>
        <v>0.30735045710402625</v>
      </c>
      <c r="N79" s="162">
        <f>F79/$F$71</f>
        <v>0.26985221609660959</v>
      </c>
      <c r="O79" s="171">
        <f>G79/$G$71</f>
        <v>0.20634273309464896</v>
      </c>
      <c r="Q79" s="69">
        <f t="shared" ref="Q79" si="52">L79-K79</f>
        <v>-1.3467434199421563E-2</v>
      </c>
      <c r="R79" s="162">
        <f t="shared" si="18"/>
        <v>0.56570929665619718</v>
      </c>
      <c r="S79" s="162">
        <f t="shared" si="19"/>
        <v>6.2829960763184367E-2</v>
      </c>
      <c r="T79" s="162">
        <f t="shared" si="20"/>
        <v>-0.15706172882408032</v>
      </c>
      <c r="U79" s="171">
        <f t="shared" si="42"/>
        <v>0.1194127014059374</v>
      </c>
    </row>
    <row r="80" spans="2:21" ht="14.4">
      <c r="B80" s="140" t="s">
        <v>530</v>
      </c>
      <c r="C80" s="151"/>
      <c r="D80" s="151"/>
      <c r="E80" s="151"/>
      <c r="F80" s="151"/>
      <c r="G80" s="152"/>
      <c r="H80" s="139"/>
      <c r="I80" s="139"/>
      <c r="J80" s="165" t="s">
        <v>530</v>
      </c>
      <c r="K80" s="163"/>
      <c r="L80" s="163"/>
      <c r="M80" s="163"/>
      <c r="N80" s="163"/>
      <c r="O80" s="167"/>
      <c r="Q80" s="186">
        <f t="shared" ref="Q80" si="53">L80-K80</f>
        <v>0</v>
      </c>
      <c r="R80" s="163"/>
      <c r="S80" s="163"/>
      <c r="T80" s="163"/>
      <c r="U80" s="167"/>
    </row>
    <row r="81" spans="2:21" ht="14.4">
      <c r="B81" s="144" t="s">
        <v>531</v>
      </c>
      <c r="C81" s="145">
        <f>'Balance sheet'!B155</f>
        <v>954402</v>
      </c>
      <c r="D81" s="145">
        <f>'Balance sheet'!C155</f>
        <v>408353</v>
      </c>
      <c r="E81" s="145">
        <f>'Balance sheet'!D155</f>
        <v>1174483</v>
      </c>
      <c r="F81" s="145">
        <f>'Balance sheet'!E155</f>
        <v>893797</v>
      </c>
      <c r="G81" s="146">
        <f>'Balance sheet'!F155</f>
        <v>2067585</v>
      </c>
      <c r="H81" s="139"/>
      <c r="I81" s="139"/>
      <c r="J81" s="168" t="s">
        <v>531</v>
      </c>
      <c r="K81" s="161">
        <f t="shared" ref="K81:K87" si="54">C81/$C$71</f>
        <v>0.13969925787120382</v>
      </c>
      <c r="L81" s="161">
        <f t="shared" ref="L81:L87" si="55">D81/$D$71</f>
        <v>5.6320147100219889E-2</v>
      </c>
      <c r="M81" s="161">
        <f t="shared" ref="M81:M87" si="56">E81/$E$71</f>
        <v>0.13070895918549499</v>
      </c>
      <c r="N81" s="161">
        <f t="shared" ref="N81:N87" si="57">F81/$F$71</f>
        <v>8.2172377227823085E-2</v>
      </c>
      <c r="O81" s="167">
        <f t="shared" ref="O81:O87" si="58">G81/$G$71</f>
        <v>0.17243195368422107</v>
      </c>
      <c r="Q81" s="68">
        <f t="shared" ref="Q81" si="59">L81-K81</f>
        <v>-8.3379110770983936E-2</v>
      </c>
      <c r="R81" s="161">
        <f t="shared" si="18"/>
        <v>1.8761463733583446</v>
      </c>
      <c r="S81" s="161">
        <f t="shared" si="19"/>
        <v>-0.23898685634445116</v>
      </c>
      <c r="T81" s="161">
        <f t="shared" si="20"/>
        <v>1.3132601698148463</v>
      </c>
      <c r="U81" s="167">
        <f>(((G81/D81)^(1/3))-1)</f>
        <v>0.71715384800041937</v>
      </c>
    </row>
    <row r="82" spans="2:21" ht="14.4">
      <c r="B82" s="144" t="s">
        <v>532</v>
      </c>
      <c r="C82" s="153">
        <v>0</v>
      </c>
      <c r="D82" s="153">
        <v>0</v>
      </c>
      <c r="E82" s="153">
        <v>0</v>
      </c>
      <c r="F82" s="153">
        <v>0</v>
      </c>
      <c r="G82" s="146">
        <v>0</v>
      </c>
      <c r="H82" s="139"/>
      <c r="I82" s="139"/>
      <c r="J82" s="169" t="s">
        <v>532</v>
      </c>
      <c r="K82" s="161">
        <f t="shared" si="54"/>
        <v>0</v>
      </c>
      <c r="L82" s="161">
        <f t="shared" si="55"/>
        <v>0</v>
      </c>
      <c r="M82" s="161">
        <f t="shared" si="56"/>
        <v>0</v>
      </c>
      <c r="N82" s="161">
        <f t="shared" si="57"/>
        <v>0</v>
      </c>
      <c r="O82" s="167">
        <f t="shared" si="58"/>
        <v>0</v>
      </c>
      <c r="Q82" s="68">
        <f t="shared" ref="Q82" si="60">L82-K82</f>
        <v>0</v>
      </c>
      <c r="R82" s="161">
        <v>0</v>
      </c>
      <c r="S82" s="161">
        <v>0</v>
      </c>
      <c r="T82" s="161">
        <v>0</v>
      </c>
      <c r="U82" s="167">
        <v>0</v>
      </c>
    </row>
    <row r="83" spans="2:21" ht="14.4">
      <c r="B83" s="144" t="s">
        <v>533</v>
      </c>
      <c r="C83" s="145">
        <v>0</v>
      </c>
      <c r="D83" s="145">
        <v>0</v>
      </c>
      <c r="E83" s="145">
        <v>0</v>
      </c>
      <c r="F83" s="145">
        <v>0</v>
      </c>
      <c r="G83" s="146">
        <v>0</v>
      </c>
      <c r="H83" s="139"/>
      <c r="I83" s="139"/>
      <c r="J83" s="168" t="s">
        <v>533</v>
      </c>
      <c r="K83" s="161">
        <f t="shared" si="54"/>
        <v>0</v>
      </c>
      <c r="L83" s="161">
        <f t="shared" si="55"/>
        <v>0</v>
      </c>
      <c r="M83" s="161">
        <f t="shared" si="56"/>
        <v>0</v>
      </c>
      <c r="N83" s="161">
        <f t="shared" si="57"/>
        <v>0</v>
      </c>
      <c r="O83" s="167">
        <f t="shared" si="58"/>
        <v>0</v>
      </c>
      <c r="Q83" s="68">
        <f t="shared" ref="Q83" si="61">L83-K83</f>
        <v>0</v>
      </c>
      <c r="R83" s="161">
        <v>0</v>
      </c>
      <c r="S83" s="161">
        <v>0</v>
      </c>
      <c r="T83" s="161">
        <v>0</v>
      </c>
      <c r="U83" s="167">
        <v>0</v>
      </c>
    </row>
    <row r="84" spans="2:21" ht="14.4">
      <c r="B84" s="144" t="s">
        <v>534</v>
      </c>
      <c r="C84" s="145">
        <f>'Balance sheet'!B156+'Balance sheet'!B158+'Balance sheet'!B154</f>
        <v>3267673</v>
      </c>
      <c r="D84" s="145">
        <f>'Balance sheet'!C156+'Balance sheet'!C158+'Balance sheet'!C154</f>
        <v>3890830</v>
      </c>
      <c r="E84" s="145">
        <f>'Balance sheet'!D156+'Balance sheet'!D158</f>
        <v>3314910</v>
      </c>
      <c r="F84" s="145">
        <f>'Balance sheet'!E156+'Balance sheet'!E158</f>
        <v>4483132</v>
      </c>
      <c r="G84" s="146">
        <f>'Balance sheet'!F156+'Balance sheet'!F158</f>
        <v>4243554</v>
      </c>
      <c r="H84" s="139"/>
      <c r="I84" s="139"/>
      <c r="J84" s="169" t="s">
        <v>534</v>
      </c>
      <c r="K84" s="161">
        <f t="shared" si="54"/>
        <v>0.47830106502896075</v>
      </c>
      <c r="L84" s="161">
        <f t="shared" si="55"/>
        <v>0.53662423918019098</v>
      </c>
      <c r="M84" s="161">
        <f t="shared" si="56"/>
        <v>0.36891843976761624</v>
      </c>
      <c r="N84" s="161">
        <f t="shared" si="57"/>
        <v>0.4121625087868106</v>
      </c>
      <c r="O84" s="167">
        <f t="shared" si="58"/>
        <v>0.35390288998251151</v>
      </c>
      <c r="Q84" s="68">
        <f t="shared" ref="Q84" si="62">L84-K84</f>
        <v>5.8323174151230228E-2</v>
      </c>
      <c r="R84" s="161">
        <f t="shared" si="18"/>
        <v>-0.14801983124423324</v>
      </c>
      <c r="S84" s="161">
        <f t="shared" si="19"/>
        <v>0.35241439435761457</v>
      </c>
      <c r="T84" s="161">
        <f t="shared" si="20"/>
        <v>-5.3439871946665884E-2</v>
      </c>
      <c r="U84" s="167">
        <f t="shared" ref="U84:U87" si="63">(((G84/D84)^(1/3))-1)</f>
        <v>2.9348633707510619E-2</v>
      </c>
    </row>
    <row r="85" spans="2:21" ht="14.4">
      <c r="B85" s="144" t="s">
        <v>535</v>
      </c>
      <c r="C85" s="145">
        <f>'Balance sheet'!B144</f>
        <v>193620</v>
      </c>
      <c r="D85" s="145">
        <f>'Balance sheet'!C144</f>
        <v>220634</v>
      </c>
      <c r="E85" s="145">
        <f>'Balance sheet'!D144</f>
        <v>253701</v>
      </c>
      <c r="F85" s="145">
        <f>'Balance sheet'!E144</f>
        <v>307482</v>
      </c>
      <c r="G85" s="146">
        <f>'Balance sheet'!F144</f>
        <v>275626</v>
      </c>
      <c r="H85" s="139"/>
      <c r="I85" s="139"/>
      <c r="J85" s="169" t="s">
        <v>535</v>
      </c>
      <c r="K85" s="161">
        <f t="shared" si="54"/>
        <v>2.8340856692486482E-2</v>
      </c>
      <c r="L85" s="161">
        <f t="shared" si="55"/>
        <v>3.0429896034337729E-2</v>
      </c>
      <c r="M85" s="161">
        <f t="shared" si="56"/>
        <v>2.823454545899708E-2</v>
      </c>
      <c r="N85" s="161">
        <f t="shared" si="57"/>
        <v>2.8268753301661894E-2</v>
      </c>
      <c r="O85" s="167">
        <f t="shared" si="58"/>
        <v>2.2986590474474867E-2</v>
      </c>
      <c r="Q85" s="68">
        <f t="shared" ref="Q85" si="64">L85-K85</f>
        <v>2.0890393418512461E-3</v>
      </c>
      <c r="R85" s="161">
        <f t="shared" si="18"/>
        <v>0.14987263975633858</v>
      </c>
      <c r="S85" s="161">
        <f t="shared" si="19"/>
        <v>0.21198576276798287</v>
      </c>
      <c r="T85" s="161">
        <f t="shared" si="20"/>
        <v>-0.10360281252235903</v>
      </c>
      <c r="U85" s="167">
        <f t="shared" si="63"/>
        <v>7.7000524044279484E-2</v>
      </c>
    </row>
    <row r="86" spans="2:21" ht="14.4">
      <c r="B86" s="93" t="s">
        <v>536</v>
      </c>
      <c r="C86" s="147">
        <f t="shared" ref="C86:G86" si="65">SUM(C81:C85)</f>
        <v>4415695</v>
      </c>
      <c r="D86" s="147">
        <f t="shared" si="65"/>
        <v>4519817</v>
      </c>
      <c r="E86" s="147">
        <f t="shared" si="65"/>
        <v>4743094</v>
      </c>
      <c r="F86" s="147">
        <f t="shared" si="65"/>
        <v>5684411</v>
      </c>
      <c r="G86" s="148">
        <f t="shared" si="65"/>
        <v>6586765</v>
      </c>
      <c r="H86" s="139"/>
      <c r="I86" s="139"/>
      <c r="J86" s="170" t="s">
        <v>536</v>
      </c>
      <c r="K86" s="162">
        <f t="shared" si="54"/>
        <v>0.64634117959265103</v>
      </c>
      <c r="L86" s="162">
        <f t="shared" si="55"/>
        <v>0.62337428231474867</v>
      </c>
      <c r="M86" s="162">
        <f t="shared" si="56"/>
        <v>0.52786194441210832</v>
      </c>
      <c r="N86" s="162">
        <f t="shared" si="57"/>
        <v>0.52260363931629561</v>
      </c>
      <c r="O86" s="171">
        <f t="shared" si="58"/>
        <v>0.54932143414120738</v>
      </c>
      <c r="Q86" s="69">
        <f t="shared" ref="Q86" si="66">L86-K86</f>
        <v>-2.2966897277902354E-2</v>
      </c>
      <c r="R86" s="162">
        <f t="shared" si="18"/>
        <v>4.9399566398374173E-2</v>
      </c>
      <c r="S86" s="162">
        <f t="shared" si="19"/>
        <v>0.19846054073564634</v>
      </c>
      <c r="T86" s="162">
        <f t="shared" si="20"/>
        <v>0.15874186437257976</v>
      </c>
      <c r="U86" s="171">
        <f t="shared" si="63"/>
        <v>0.13374949323256136</v>
      </c>
    </row>
    <row r="87" spans="2:21" ht="14.4">
      <c r="B87" s="93" t="s">
        <v>508</v>
      </c>
      <c r="C87" s="147">
        <f t="shared" ref="C87:G87" si="67">C86+C79</f>
        <v>6169696</v>
      </c>
      <c r="D87" s="147">
        <f t="shared" si="67"/>
        <v>6283677</v>
      </c>
      <c r="E87" s="147">
        <f t="shared" si="67"/>
        <v>7504786</v>
      </c>
      <c r="F87" s="147">
        <f t="shared" si="67"/>
        <v>8619620</v>
      </c>
      <c r="G87" s="148">
        <f t="shared" si="67"/>
        <v>9060965</v>
      </c>
      <c r="H87" s="139"/>
      <c r="I87" s="139"/>
      <c r="J87" s="170" t="s">
        <v>508</v>
      </c>
      <c r="K87" s="162">
        <f t="shared" si="54"/>
        <v>0.90308062272599465</v>
      </c>
      <c r="L87" s="162">
        <f t="shared" si="55"/>
        <v>0.86664629124867065</v>
      </c>
      <c r="M87" s="162">
        <f t="shared" si="56"/>
        <v>0.83521240151613463</v>
      </c>
      <c r="N87" s="162">
        <f t="shared" si="57"/>
        <v>0.7924558554129052</v>
      </c>
      <c r="O87" s="171">
        <f t="shared" si="58"/>
        <v>0.75566416723585639</v>
      </c>
      <c r="Q87" s="69">
        <f t="shared" ref="Q87" si="68">L87-K87</f>
        <v>-3.6434331477324E-2</v>
      </c>
      <c r="R87" s="162">
        <f t="shared" si="18"/>
        <v>0.19433032601771227</v>
      </c>
      <c r="S87" s="162">
        <f t="shared" si="19"/>
        <v>0.14854973879335143</v>
      </c>
      <c r="T87" s="162">
        <f t="shared" si="20"/>
        <v>5.1202373190465389E-2</v>
      </c>
      <c r="U87" s="171">
        <f t="shared" si="63"/>
        <v>0.12976174942569396</v>
      </c>
    </row>
    <row r="88" spans="2:21" ht="14.4">
      <c r="B88" s="140" t="s">
        <v>537</v>
      </c>
      <c r="C88" s="151"/>
      <c r="D88" s="151"/>
      <c r="E88" s="151"/>
      <c r="F88" s="151"/>
      <c r="G88" s="142"/>
      <c r="H88" s="139"/>
      <c r="I88" s="139"/>
      <c r="J88" s="165" t="s">
        <v>537</v>
      </c>
      <c r="K88" s="163"/>
      <c r="L88" s="163"/>
      <c r="M88" s="163"/>
      <c r="N88" s="163"/>
      <c r="O88" s="167"/>
      <c r="Q88" s="186">
        <f t="shared" ref="Q88" si="69">L88-K88</f>
        <v>0</v>
      </c>
      <c r="R88" s="163"/>
      <c r="S88" s="163"/>
      <c r="T88" s="163"/>
      <c r="U88" s="167"/>
    </row>
    <row r="89" spans="2:21" ht="14.4">
      <c r="B89" s="144" t="s">
        <v>486</v>
      </c>
      <c r="C89" s="145">
        <f>'Balance sheet'!B113</f>
        <v>100000</v>
      </c>
      <c r="D89" s="145">
        <f>'Balance sheet'!C113</f>
        <v>100000</v>
      </c>
      <c r="E89" s="145">
        <f>'Balance sheet'!D113</f>
        <v>100000</v>
      </c>
      <c r="F89" s="145">
        <f>'Balance sheet'!E113</f>
        <v>100000</v>
      </c>
      <c r="G89" s="146">
        <f>'Balance sheet'!F113</f>
        <v>100000</v>
      </c>
      <c r="H89" s="139"/>
      <c r="I89" s="139"/>
      <c r="J89" s="168" t="s">
        <v>486</v>
      </c>
      <c r="K89" s="161">
        <f t="shared" ref="K89:K91" si="70">C89/$C$71</f>
        <v>1.4637360134534904E-2</v>
      </c>
      <c r="L89" s="161">
        <f t="shared" ref="L89:L91" si="71">D89/$D$71</f>
        <v>1.3792024816817775E-2</v>
      </c>
      <c r="M89" s="161">
        <f t="shared" ref="M89:M91" si="72">E89/$E$71</f>
        <v>1.1129063527143006E-2</v>
      </c>
      <c r="N89" s="161">
        <f t="shared" ref="N89:N91" si="73">F89/$F$71</f>
        <v>9.1936286682348552E-3</v>
      </c>
      <c r="O89" s="167">
        <f t="shared" ref="O89:O91" si="74">G89/$G$71</f>
        <v>8.3397758101466709E-3</v>
      </c>
      <c r="Q89" s="68">
        <f t="shared" ref="Q89" si="75">L89-K89</f>
        <v>-8.4533531771712953E-4</v>
      </c>
      <c r="R89" s="161">
        <f t="shared" si="18"/>
        <v>0</v>
      </c>
      <c r="S89" s="161">
        <f t="shared" si="19"/>
        <v>0</v>
      </c>
      <c r="T89" s="161">
        <f t="shared" si="20"/>
        <v>0</v>
      </c>
      <c r="U89" s="167">
        <f t="shared" ref="U89:U93" si="76">(((G89/D89)^(1/3))-1)</f>
        <v>0</v>
      </c>
    </row>
    <row r="90" spans="2:21" ht="14.4">
      <c r="B90" s="144" t="s">
        <v>538</v>
      </c>
      <c r="C90" s="145">
        <f>'Balance sheet'!B120+'Balance sheet'!B123+'Balance sheet'!B125</f>
        <v>542433</v>
      </c>
      <c r="D90" s="145">
        <f>'Balance sheet'!C120+'Balance sheet'!C123+'Balance sheet'!C125</f>
        <v>542436</v>
      </c>
      <c r="E90" s="145">
        <f>'Balance sheet'!D120+'Balance sheet'!D123+'Balance sheet'!D125</f>
        <v>542434</v>
      </c>
      <c r="F90" s="145">
        <f>'Balance sheet'!E120+'Balance sheet'!E123+'Balance sheet'!E125</f>
        <v>542436</v>
      </c>
      <c r="G90" s="146">
        <f>'Balance sheet'!F120+'Balance sheet'!F123+'Balance sheet'!F125</f>
        <v>542433</v>
      </c>
      <c r="H90" s="139"/>
      <c r="I90" s="139"/>
      <c r="J90" s="169" t="s">
        <v>538</v>
      </c>
      <c r="K90" s="161">
        <f t="shared" si="70"/>
        <v>7.9397871698561717E-2</v>
      </c>
      <c r="L90" s="161">
        <f t="shared" si="71"/>
        <v>7.4812907735353665E-2</v>
      </c>
      <c r="M90" s="161">
        <f t="shared" si="72"/>
        <v>6.0367824452822898E-2</v>
      </c>
      <c r="N90" s="161">
        <f t="shared" si="73"/>
        <v>4.9869551602826419E-2</v>
      </c>
      <c r="O90" s="167">
        <f t="shared" si="74"/>
        <v>4.5237696120252899E-2</v>
      </c>
      <c r="Q90" s="68">
        <f t="shared" ref="Q90" si="77">L90-K90</f>
        <v>-4.5849639632080524E-3</v>
      </c>
      <c r="R90" s="161">
        <f t="shared" si="18"/>
        <v>-3.6870709171354932E-6</v>
      </c>
      <c r="S90" s="161">
        <f t="shared" si="19"/>
        <v>3.6870845117054074E-6</v>
      </c>
      <c r="T90" s="161">
        <f t="shared" si="20"/>
        <v>-5.5306063756477286E-6</v>
      </c>
      <c r="U90" s="167">
        <f t="shared" si="76"/>
        <v>-1.8435388572379807E-6</v>
      </c>
    </row>
    <row r="91" spans="2:21" ht="14.4">
      <c r="B91" s="144" t="s">
        <v>539</v>
      </c>
      <c r="C91" s="145">
        <f>'Balance sheet'!B126+'Balance sheet'!B127</f>
        <v>19704</v>
      </c>
      <c r="D91" s="145">
        <f>'Balance sheet'!C126+'Balance sheet'!C127</f>
        <v>324454</v>
      </c>
      <c r="E91" s="145">
        <f>'Balance sheet'!D126+'Balance sheet'!D127</f>
        <v>838262</v>
      </c>
      <c r="F91" s="145">
        <f>'Balance sheet'!E126+'Balance sheet'!E127</f>
        <v>1615042</v>
      </c>
      <c r="G91" s="146">
        <f>'Balance sheet'!F126+'Balance sheet'!F127</f>
        <v>2287332</v>
      </c>
      <c r="H91" s="139"/>
      <c r="I91" s="139"/>
      <c r="J91" s="168" t="s">
        <v>539</v>
      </c>
      <c r="K91" s="161">
        <f t="shared" si="70"/>
        <v>2.8841454409087577E-3</v>
      </c>
      <c r="L91" s="161">
        <f t="shared" si="71"/>
        <v>4.4748776199157944E-2</v>
      </c>
      <c r="M91" s="161">
        <f t="shared" si="72"/>
        <v>9.3290710503899518E-2</v>
      </c>
      <c r="N91" s="161">
        <f t="shared" si="73"/>
        <v>0.14848096431603355</v>
      </c>
      <c r="O91" s="167">
        <f t="shared" si="74"/>
        <v>0.19075836083374406</v>
      </c>
      <c r="Q91" s="68">
        <f t="shared" ref="Q91" si="78">L91-K91</f>
        <v>4.1864630758249186E-2</v>
      </c>
      <c r="R91" s="161">
        <f t="shared" si="18"/>
        <v>1.5836081540064231</v>
      </c>
      <c r="S91" s="161">
        <f t="shared" si="19"/>
        <v>0.9266553893651388</v>
      </c>
      <c r="T91" s="161">
        <f t="shared" si="20"/>
        <v>0.4162678122302701</v>
      </c>
      <c r="U91" s="167">
        <f t="shared" si="76"/>
        <v>0.91745578264322813</v>
      </c>
    </row>
    <row r="92" spans="2:21" ht="14.4">
      <c r="B92" s="93" t="s">
        <v>540</v>
      </c>
      <c r="C92" s="147">
        <f t="shared" ref="C92:G92" si="79">SUM(C89:C91)</f>
        <v>662137</v>
      </c>
      <c r="D92" s="147">
        <f t="shared" si="79"/>
        <v>966890</v>
      </c>
      <c r="E92" s="147">
        <f t="shared" si="79"/>
        <v>1480696</v>
      </c>
      <c r="F92" s="147">
        <f t="shared" si="79"/>
        <v>2257478</v>
      </c>
      <c r="G92" s="148">
        <f t="shared" si="79"/>
        <v>2929765</v>
      </c>
      <c r="H92" s="139"/>
      <c r="I92" s="139"/>
      <c r="J92" s="172" t="s">
        <v>540</v>
      </c>
      <c r="K92" s="162">
        <f t="shared" ref="K92:O92" si="80">C92/C$71</f>
        <v>9.6919377274005375E-2</v>
      </c>
      <c r="L92" s="162">
        <f t="shared" si="80"/>
        <v>0.13335370875132938</v>
      </c>
      <c r="M92" s="162">
        <f t="shared" si="80"/>
        <v>0.16478759848386543</v>
      </c>
      <c r="N92" s="162">
        <f t="shared" si="80"/>
        <v>0.20754414458709483</v>
      </c>
      <c r="O92" s="171">
        <f t="shared" si="80"/>
        <v>0.24433583276414364</v>
      </c>
      <c r="Q92" s="69">
        <f t="shared" ref="Q92" si="81">L92-K92</f>
        <v>3.6434331477324E-2</v>
      </c>
      <c r="R92" s="162">
        <f t="shared" si="18"/>
        <v>0.53140067639545352</v>
      </c>
      <c r="S92" s="162">
        <f t="shared" si="19"/>
        <v>0.52460599609913183</v>
      </c>
      <c r="T92" s="162">
        <f t="shared" si="20"/>
        <v>0.29780445257938282</v>
      </c>
      <c r="U92" s="171">
        <f t="shared" si="76"/>
        <v>0.44705567003724789</v>
      </c>
    </row>
    <row r="93" spans="2:21" thickBot="1">
      <c r="B93" s="95" t="s">
        <v>509</v>
      </c>
      <c r="C93" s="154">
        <f t="shared" ref="C93:G93" si="82">C92+C87</f>
        <v>6831833</v>
      </c>
      <c r="D93" s="154">
        <f t="shared" si="82"/>
        <v>7250567</v>
      </c>
      <c r="E93" s="154">
        <f t="shared" si="82"/>
        <v>8985482</v>
      </c>
      <c r="F93" s="154">
        <f t="shared" si="82"/>
        <v>10877098</v>
      </c>
      <c r="G93" s="155">
        <f t="shared" si="82"/>
        <v>11990730</v>
      </c>
      <c r="H93" s="139"/>
      <c r="I93" s="139"/>
      <c r="J93" s="173" t="s">
        <v>509</v>
      </c>
      <c r="K93" s="174">
        <f>C93/$C$71</f>
        <v>1</v>
      </c>
      <c r="L93" s="174">
        <f>D93/$D$71</f>
        <v>1</v>
      </c>
      <c r="M93" s="174">
        <f>E93/$E$71</f>
        <v>1</v>
      </c>
      <c r="N93" s="174">
        <f>F93/$F$71</f>
        <v>1</v>
      </c>
      <c r="O93" s="175">
        <f>G93/$G$71</f>
        <v>1</v>
      </c>
      <c r="Q93" s="69"/>
      <c r="R93" s="174">
        <f t="shared" si="18"/>
        <v>0.23927990735069415</v>
      </c>
      <c r="S93" s="174">
        <f t="shared" si="19"/>
        <v>0.21051914632960145</v>
      </c>
      <c r="T93" s="174">
        <f t="shared" si="20"/>
        <v>0.10238319081063718</v>
      </c>
      <c r="U93" s="175">
        <f t="shared" si="76"/>
        <v>0.18256372049242597</v>
      </c>
    </row>
    <row r="94" spans="2:21" ht="14.4">
      <c r="B94" s="139"/>
      <c r="C94" s="139"/>
      <c r="D94" s="139"/>
      <c r="E94" s="139"/>
      <c r="F94" s="139"/>
      <c r="G94" s="139"/>
      <c r="H94" s="139"/>
      <c r="I94" s="139"/>
      <c r="J94" s="139"/>
      <c r="L94" s="139"/>
      <c r="M94" s="139"/>
      <c r="N94" s="139"/>
      <c r="O94" s="139"/>
    </row>
    <row r="95" spans="2:21" ht="16.2" thickBot="1">
      <c r="B95" s="188" t="s">
        <v>609</v>
      </c>
      <c r="C95" s="139"/>
      <c r="D95" s="139"/>
      <c r="E95" s="139"/>
      <c r="F95" s="139"/>
      <c r="G95" s="139"/>
      <c r="H95" s="139"/>
      <c r="I95" s="139"/>
      <c r="J95" s="188" t="s">
        <v>609</v>
      </c>
      <c r="L95" s="139"/>
      <c r="M95" s="139"/>
      <c r="N95" s="139"/>
      <c r="O95" s="139"/>
    </row>
    <row r="96" spans="2:21" ht="21">
      <c r="B96" s="580" t="s">
        <v>541</v>
      </c>
      <c r="C96" s="581"/>
      <c r="D96" s="581"/>
      <c r="E96" s="581"/>
      <c r="F96" s="581"/>
      <c r="G96" s="582"/>
      <c r="H96" s="139"/>
      <c r="I96" s="139"/>
      <c r="J96" s="583" t="s">
        <v>541</v>
      </c>
      <c r="K96" s="584"/>
      <c r="L96" s="584"/>
      <c r="M96" s="584"/>
      <c r="N96" s="584"/>
      <c r="O96" s="585"/>
      <c r="Q96" s="67"/>
      <c r="R96" s="574" t="s">
        <v>511</v>
      </c>
      <c r="S96" s="575"/>
      <c r="T96" s="575"/>
      <c r="U96" s="576"/>
    </row>
    <row r="97" spans="1:21" ht="15.6">
      <c r="B97" s="99"/>
      <c r="C97" s="84">
        <v>2020</v>
      </c>
      <c r="D97" s="84">
        <v>2021</v>
      </c>
      <c r="E97" s="84">
        <v>2022</v>
      </c>
      <c r="F97" s="84">
        <v>2023</v>
      </c>
      <c r="G97" s="86">
        <v>2024</v>
      </c>
      <c r="H97" s="139"/>
      <c r="I97" s="139"/>
      <c r="J97" s="85"/>
      <c r="K97" s="84">
        <v>2020</v>
      </c>
      <c r="L97" s="84">
        <v>2021</v>
      </c>
      <c r="M97" s="84">
        <v>2022</v>
      </c>
      <c r="N97" s="84">
        <v>2023</v>
      </c>
      <c r="O97" s="86">
        <v>2024</v>
      </c>
      <c r="Q97" s="65">
        <v>2021</v>
      </c>
      <c r="R97" s="184">
        <v>2022</v>
      </c>
      <c r="S97" s="84">
        <v>2023</v>
      </c>
      <c r="T97" s="84">
        <v>2024</v>
      </c>
      <c r="U97" s="164" t="s">
        <v>512</v>
      </c>
    </row>
    <row r="98" spans="1:21" ht="14.4">
      <c r="B98" s="85" t="s">
        <v>513</v>
      </c>
      <c r="C98" s="83"/>
      <c r="D98" s="83"/>
      <c r="E98" s="83"/>
      <c r="F98" s="83"/>
      <c r="G98" s="88"/>
      <c r="H98" s="139"/>
      <c r="I98" s="139"/>
      <c r="J98" s="85" t="s">
        <v>513</v>
      </c>
      <c r="K98" s="98"/>
      <c r="L98" s="98"/>
      <c r="M98" s="98"/>
      <c r="N98" s="98"/>
      <c r="O98" s="88"/>
      <c r="Q98" s="67"/>
      <c r="R98" s="99"/>
      <c r="S98" s="98"/>
      <c r="T98" s="98"/>
      <c r="U98" s="164"/>
    </row>
    <row r="99" spans="1:21" ht="14.4">
      <c r="B99" s="156" t="s">
        <v>514</v>
      </c>
      <c r="C99" s="145">
        <f t="shared" ref="C99:G99" si="83">C66</f>
        <v>6708600</v>
      </c>
      <c r="D99" s="145">
        <f t="shared" si="83"/>
        <v>6766164</v>
      </c>
      <c r="E99" s="145">
        <f t="shared" si="83"/>
        <v>8845278</v>
      </c>
      <c r="F99" s="145">
        <f t="shared" si="83"/>
        <v>10164691</v>
      </c>
      <c r="G99" s="146">
        <f t="shared" si="83"/>
        <v>11515958</v>
      </c>
      <c r="H99" s="139"/>
      <c r="I99" s="139"/>
      <c r="J99" s="168" t="s">
        <v>514</v>
      </c>
      <c r="K99" s="161">
        <f t="shared" ref="K99:O99" si="84">C99/C71</f>
        <v>0.98196194198540865</v>
      </c>
      <c r="L99" s="161">
        <f t="shared" si="84"/>
        <v>0.93319101802659021</v>
      </c>
      <c r="M99" s="161">
        <f t="shared" si="84"/>
        <v>0.98439660777240445</v>
      </c>
      <c r="N99" s="161">
        <f t="shared" si="84"/>
        <v>0.93450394581348817</v>
      </c>
      <c r="O99" s="167">
        <f t="shared" si="84"/>
        <v>0.96040507959065047</v>
      </c>
      <c r="Q99" s="68">
        <f t="shared" ref="Q99" si="85">L99-K99</f>
        <v>-4.8770923958818435E-2</v>
      </c>
      <c r="R99" s="225">
        <f>(E99/D99)-1</f>
        <v>0.30728105319350818</v>
      </c>
      <c r="S99" s="161">
        <f t="shared" ref="S99:T99" si="86">(F99/E99)-1</f>
        <v>0.14916580349424846</v>
      </c>
      <c r="T99" s="161">
        <f t="shared" si="86"/>
        <v>0.13293734162701054</v>
      </c>
      <c r="U99" s="167">
        <f t="shared" ref="U99:U106" si="87">(((G99/D99)^(1/3))-1)</f>
        <v>0.19394920506736613</v>
      </c>
    </row>
    <row r="100" spans="1:21" ht="14.4">
      <c r="B100" s="156" t="s">
        <v>524</v>
      </c>
      <c r="C100" s="145">
        <f t="shared" ref="C100:G100" si="88">C79</f>
        <v>1754001</v>
      </c>
      <c r="D100" s="145">
        <f t="shared" si="88"/>
        <v>1763860</v>
      </c>
      <c r="E100" s="145">
        <f t="shared" si="88"/>
        <v>2761692</v>
      </c>
      <c r="F100" s="145">
        <f t="shared" si="88"/>
        <v>2935209</v>
      </c>
      <c r="G100" s="146">
        <f t="shared" si="88"/>
        <v>2474200</v>
      </c>
      <c r="H100" s="139"/>
      <c r="I100" s="139"/>
      <c r="J100" s="168" t="s">
        <v>524</v>
      </c>
      <c r="K100" s="161">
        <f t="shared" ref="K100:O100" si="89">K79</f>
        <v>0.25673944313334357</v>
      </c>
      <c r="L100" s="161">
        <f t="shared" si="89"/>
        <v>0.24327200893392201</v>
      </c>
      <c r="M100" s="161">
        <f t="shared" si="89"/>
        <v>0.30735045710402625</v>
      </c>
      <c r="N100" s="161">
        <f t="shared" si="89"/>
        <v>0.26985221609660959</v>
      </c>
      <c r="O100" s="167">
        <f t="shared" si="89"/>
        <v>0.20634273309464896</v>
      </c>
      <c r="Q100" s="68">
        <f t="shared" ref="Q100" si="90">L100-K100</f>
        <v>-1.3467434199421563E-2</v>
      </c>
      <c r="R100" s="225">
        <f t="shared" ref="R100:R106" si="91">(E100/D100)-1</f>
        <v>0.56570929665619718</v>
      </c>
      <c r="S100" s="161">
        <f t="shared" ref="S100:S106" si="92">(F100/E100)-1</f>
        <v>6.2829960763184367E-2</v>
      </c>
      <c r="T100" s="161">
        <f t="shared" ref="T100:T106" si="93">(G100/F100)-1</f>
        <v>-0.15706172882408032</v>
      </c>
      <c r="U100" s="167">
        <f t="shared" si="87"/>
        <v>0.1194127014059374</v>
      </c>
    </row>
    <row r="101" spans="1:21" ht="14.4">
      <c r="B101" s="100" t="s">
        <v>542</v>
      </c>
      <c r="C101" s="147">
        <f t="shared" ref="C101:G101" si="94">C99-C100</f>
        <v>4954599</v>
      </c>
      <c r="D101" s="147">
        <f t="shared" si="94"/>
        <v>5002304</v>
      </c>
      <c r="E101" s="147">
        <f t="shared" si="94"/>
        <v>6083586</v>
      </c>
      <c r="F101" s="147">
        <f t="shared" si="94"/>
        <v>7229482</v>
      </c>
      <c r="G101" s="148">
        <f t="shared" si="94"/>
        <v>9041758</v>
      </c>
      <c r="H101" s="139"/>
      <c r="I101" s="139"/>
      <c r="J101" s="177" t="s">
        <v>542</v>
      </c>
      <c r="K101" s="176">
        <f t="shared" ref="K101:O101" si="95">K99-K100</f>
        <v>0.72522249885206502</v>
      </c>
      <c r="L101" s="176">
        <f t="shared" si="95"/>
        <v>0.68991900909266823</v>
      </c>
      <c r="M101" s="176">
        <f t="shared" si="95"/>
        <v>0.67704615066837825</v>
      </c>
      <c r="N101" s="176">
        <f t="shared" si="95"/>
        <v>0.66465172971687858</v>
      </c>
      <c r="O101" s="178">
        <f t="shared" si="95"/>
        <v>0.75406234649600146</v>
      </c>
      <c r="Q101" s="182">
        <f t="shared" ref="Q101" si="96">L101-K101</f>
        <v>-3.5303489759396789E-2</v>
      </c>
      <c r="R101" s="226">
        <f t="shared" si="91"/>
        <v>0.21615679494888762</v>
      </c>
      <c r="S101" s="176">
        <f t="shared" si="92"/>
        <v>0.18835864241912592</v>
      </c>
      <c r="T101" s="176">
        <f t="shared" si="93"/>
        <v>0.25067854100750231</v>
      </c>
      <c r="U101" s="178">
        <f t="shared" si="87"/>
        <v>0.21813175833319742</v>
      </c>
    </row>
    <row r="102" spans="1:21" ht="14.4">
      <c r="B102" s="156" t="s">
        <v>530</v>
      </c>
      <c r="C102" s="145">
        <f t="shared" ref="C102:G102" si="97">C86</f>
        <v>4415695</v>
      </c>
      <c r="D102" s="145">
        <f t="shared" si="97"/>
        <v>4519817</v>
      </c>
      <c r="E102" s="145">
        <f t="shared" si="97"/>
        <v>4743094</v>
      </c>
      <c r="F102" s="145">
        <f t="shared" si="97"/>
        <v>5684411</v>
      </c>
      <c r="G102" s="146">
        <f t="shared" si="97"/>
        <v>6586765</v>
      </c>
      <c r="H102" s="139"/>
      <c r="I102" s="139"/>
      <c r="J102" s="168" t="s">
        <v>530</v>
      </c>
      <c r="K102" s="161">
        <f t="shared" ref="K102:O102" si="98">K86</f>
        <v>0.64634117959265103</v>
      </c>
      <c r="L102" s="161">
        <f t="shared" si="98"/>
        <v>0.62337428231474867</v>
      </c>
      <c r="M102" s="161">
        <f t="shared" si="98"/>
        <v>0.52786194441210832</v>
      </c>
      <c r="N102" s="161">
        <f t="shared" si="98"/>
        <v>0.52260363931629561</v>
      </c>
      <c r="O102" s="167">
        <f t="shared" si="98"/>
        <v>0.54932143414120738</v>
      </c>
      <c r="Q102" s="68">
        <f t="shared" ref="Q102" si="99">L102-K102</f>
        <v>-2.2966897277902354E-2</v>
      </c>
      <c r="R102" s="225">
        <f t="shared" si="91"/>
        <v>4.9399566398374173E-2</v>
      </c>
      <c r="S102" s="161">
        <f t="shared" si="92"/>
        <v>0.19846054073564634</v>
      </c>
      <c r="T102" s="161">
        <f t="shared" si="93"/>
        <v>0.15874186437257976</v>
      </c>
      <c r="U102" s="167">
        <f t="shared" si="87"/>
        <v>0.13374949323256136</v>
      </c>
    </row>
    <row r="103" spans="1:21" ht="14.4">
      <c r="B103" s="156" t="s">
        <v>543</v>
      </c>
      <c r="C103" s="145">
        <f t="shared" ref="C103:G103" si="100">C70</f>
        <v>123233</v>
      </c>
      <c r="D103" s="145">
        <f t="shared" si="100"/>
        <v>484403</v>
      </c>
      <c r="E103" s="145">
        <f t="shared" si="100"/>
        <v>140204</v>
      </c>
      <c r="F103" s="145">
        <f t="shared" si="100"/>
        <v>712407</v>
      </c>
      <c r="G103" s="146">
        <f t="shared" si="100"/>
        <v>474772</v>
      </c>
      <c r="H103" s="139"/>
      <c r="I103" s="139"/>
      <c r="J103" s="168" t="s">
        <v>543</v>
      </c>
      <c r="K103" s="161">
        <f t="shared" ref="K103:O103" si="101">K70</f>
        <v>1.80380580145914E-2</v>
      </c>
      <c r="L103" s="161">
        <f t="shared" si="101"/>
        <v>6.6808981973409801E-2</v>
      </c>
      <c r="M103" s="161">
        <f t="shared" si="101"/>
        <v>1.5603392227595582E-2</v>
      </c>
      <c r="N103" s="161">
        <f t="shared" si="101"/>
        <v>6.5496054186511873E-2</v>
      </c>
      <c r="O103" s="167">
        <f t="shared" si="101"/>
        <v>3.9594920409349553E-2</v>
      </c>
      <c r="Q103" s="68">
        <f t="shared" ref="Q103" si="102">L103-K103</f>
        <v>4.87709239588184E-2</v>
      </c>
      <c r="R103" s="225">
        <f t="shared" si="91"/>
        <v>-0.71056331195306388</v>
      </c>
      <c r="S103" s="161">
        <f t="shared" si="92"/>
        <v>4.0812173689766338</v>
      </c>
      <c r="T103" s="161">
        <f t="shared" si="93"/>
        <v>-0.33356634620378522</v>
      </c>
      <c r="U103" s="167">
        <f t="shared" si="87"/>
        <v>-6.671815973571027E-3</v>
      </c>
    </row>
    <row r="104" spans="1:21" ht="14.4">
      <c r="A104" s="157"/>
      <c r="B104" s="100" t="s">
        <v>544</v>
      </c>
      <c r="C104" s="147">
        <f t="shared" ref="C104:G104" si="103">C102-C103</f>
        <v>4292462</v>
      </c>
      <c r="D104" s="147">
        <f t="shared" si="103"/>
        <v>4035414</v>
      </c>
      <c r="E104" s="147">
        <f t="shared" si="103"/>
        <v>4602890</v>
      </c>
      <c r="F104" s="147">
        <f t="shared" si="103"/>
        <v>4972004</v>
      </c>
      <c r="G104" s="148">
        <f t="shared" si="103"/>
        <v>6111993</v>
      </c>
      <c r="H104" s="139"/>
      <c r="I104" s="139"/>
      <c r="J104" s="177" t="s">
        <v>545</v>
      </c>
      <c r="K104" s="176">
        <f t="shared" ref="K104:O104" si="104">K102-K103</f>
        <v>0.62830312157805968</v>
      </c>
      <c r="L104" s="176">
        <f t="shared" si="104"/>
        <v>0.55656530034133889</v>
      </c>
      <c r="M104" s="176">
        <f t="shared" si="104"/>
        <v>0.51225855218451277</v>
      </c>
      <c r="N104" s="176">
        <f t="shared" si="104"/>
        <v>0.45710758512978372</v>
      </c>
      <c r="O104" s="178">
        <f t="shared" si="104"/>
        <v>0.50972651373185784</v>
      </c>
      <c r="Q104" s="182">
        <f t="shared" ref="Q104" si="105">L104-K104</f>
        <v>-7.1737821236720789E-2</v>
      </c>
      <c r="R104" s="226">
        <f t="shared" si="91"/>
        <v>0.14062398554398636</v>
      </c>
      <c r="S104" s="176">
        <f t="shared" si="92"/>
        <v>8.0191792547725349E-2</v>
      </c>
      <c r="T104" s="176">
        <f t="shared" si="93"/>
        <v>0.22928159349831567</v>
      </c>
      <c r="U104" s="178">
        <f t="shared" si="87"/>
        <v>0.14841339811342813</v>
      </c>
    </row>
    <row r="105" spans="1:21" ht="14.4">
      <c r="B105" s="100" t="s">
        <v>540</v>
      </c>
      <c r="C105" s="147">
        <f t="shared" ref="C105:G105" si="106">C92</f>
        <v>662137</v>
      </c>
      <c r="D105" s="147">
        <f t="shared" si="106"/>
        <v>966890</v>
      </c>
      <c r="E105" s="147">
        <f t="shared" si="106"/>
        <v>1480696</v>
      </c>
      <c r="F105" s="147">
        <f t="shared" si="106"/>
        <v>2257478</v>
      </c>
      <c r="G105" s="148">
        <f t="shared" si="106"/>
        <v>2929765</v>
      </c>
      <c r="H105" s="139"/>
      <c r="I105" s="139"/>
      <c r="J105" s="177" t="s">
        <v>540</v>
      </c>
      <c r="K105" s="176">
        <f t="shared" ref="K105:O105" si="107">K92</f>
        <v>9.6919377274005375E-2</v>
      </c>
      <c r="L105" s="176">
        <f t="shared" si="107"/>
        <v>0.13335370875132938</v>
      </c>
      <c r="M105" s="176">
        <f t="shared" si="107"/>
        <v>0.16478759848386543</v>
      </c>
      <c r="N105" s="176">
        <f t="shared" si="107"/>
        <v>0.20754414458709483</v>
      </c>
      <c r="O105" s="178">
        <f t="shared" si="107"/>
        <v>0.24433583276414364</v>
      </c>
      <c r="Q105" s="182">
        <f t="shared" ref="Q105" si="108">L105-K105</f>
        <v>3.6434331477324E-2</v>
      </c>
      <c r="R105" s="226">
        <f t="shared" si="91"/>
        <v>0.53140067639545352</v>
      </c>
      <c r="S105" s="176">
        <f t="shared" si="92"/>
        <v>0.52460599609913183</v>
      </c>
      <c r="T105" s="176">
        <f t="shared" si="93"/>
        <v>0.29780445257938282</v>
      </c>
      <c r="U105" s="178">
        <f t="shared" si="87"/>
        <v>0.44705567003724789</v>
      </c>
    </row>
    <row r="106" spans="1:21" thickBot="1">
      <c r="B106" s="101" t="s">
        <v>546</v>
      </c>
      <c r="C106" s="154">
        <f t="shared" ref="C106:G106" si="109">SUM(C104:C105)</f>
        <v>4954599</v>
      </c>
      <c r="D106" s="154">
        <f t="shared" si="109"/>
        <v>5002304</v>
      </c>
      <c r="E106" s="154">
        <f t="shared" si="109"/>
        <v>6083586</v>
      </c>
      <c r="F106" s="154">
        <f t="shared" si="109"/>
        <v>7229482</v>
      </c>
      <c r="G106" s="155">
        <f t="shared" si="109"/>
        <v>9041758</v>
      </c>
      <c r="H106" s="139"/>
      <c r="I106" s="139"/>
      <c r="J106" s="179" t="s">
        <v>546</v>
      </c>
      <c r="K106" s="180">
        <f t="shared" ref="K106:O106" si="110">K104+K105</f>
        <v>0.72522249885206502</v>
      </c>
      <c r="L106" s="180">
        <f t="shared" si="110"/>
        <v>0.68991900909266823</v>
      </c>
      <c r="M106" s="180">
        <f t="shared" si="110"/>
        <v>0.67704615066837825</v>
      </c>
      <c r="N106" s="180">
        <f t="shared" si="110"/>
        <v>0.66465172971687858</v>
      </c>
      <c r="O106" s="181">
        <f t="shared" si="110"/>
        <v>0.75406234649600146</v>
      </c>
      <c r="Q106" s="183">
        <f t="shared" ref="Q106" si="111">L106-K106</f>
        <v>-3.5303489759396789E-2</v>
      </c>
      <c r="R106" s="229">
        <f t="shared" si="91"/>
        <v>0.21615679494888762</v>
      </c>
      <c r="S106" s="180">
        <f t="shared" si="92"/>
        <v>0.18835864241912592</v>
      </c>
      <c r="T106" s="180">
        <f t="shared" si="93"/>
        <v>0.25067854100750231</v>
      </c>
      <c r="U106" s="181">
        <f t="shared" si="87"/>
        <v>0.21813175833319742</v>
      </c>
    </row>
    <row r="110" spans="1:21" ht="13.2">
      <c r="D110" s="158"/>
      <c r="E110" s="158"/>
      <c r="F110" s="158"/>
      <c r="G110" s="158"/>
    </row>
    <row r="117" spans="7:7" ht="13.2">
      <c r="G117" s="158"/>
    </row>
  </sheetData>
  <mergeCells count="8">
    <mergeCell ref="B1:G1"/>
    <mergeCell ref="R54:U54"/>
    <mergeCell ref="B54:G54"/>
    <mergeCell ref="B96:G96"/>
    <mergeCell ref="J96:O96"/>
    <mergeCell ref="R96:U96"/>
    <mergeCell ref="B4:G4"/>
    <mergeCell ref="J54:O54"/>
  </mergeCells>
  <pageMargins left="0.25" right="0.25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1:Z1001"/>
  <sheetViews>
    <sheetView zoomScale="70" zoomScaleNormal="70" workbookViewId="0">
      <selection activeCell="J14" sqref="J14"/>
    </sheetView>
  </sheetViews>
  <sheetFormatPr defaultColWidth="12.5546875" defaultRowHeight="15" customHeight="1"/>
  <cols>
    <col min="1" max="1" width="11.109375" customWidth="1"/>
    <col min="2" max="2" width="50.109375" customWidth="1"/>
    <col min="3" max="3" width="11.109375" hidden="1" customWidth="1"/>
    <col min="4" max="9" width="11.109375" customWidth="1"/>
    <col min="10" max="10" width="50.109375" customWidth="1"/>
    <col min="11" max="11" width="11.109375" hidden="1" customWidth="1"/>
    <col min="12" max="16" width="10.21875" customWidth="1"/>
    <col min="17" max="17" width="14" customWidth="1"/>
    <col min="18" max="18" width="10.21875" customWidth="1"/>
    <col min="19" max="19" width="12.77734375" customWidth="1"/>
    <col min="20" max="20" width="15" bestFit="1" customWidth="1"/>
    <col min="21" max="26" width="11.109375" customWidth="1"/>
  </cols>
  <sheetData>
    <row r="1" spans="2:26" ht="15" customHeight="1">
      <c r="B1" s="453" t="s">
        <v>717</v>
      </c>
      <c r="C1" s="453"/>
      <c r="D1" s="453"/>
      <c r="E1" s="453"/>
      <c r="F1" s="453"/>
      <c r="G1" s="453"/>
    </row>
    <row r="3" spans="2:26" ht="15" customHeight="1" thickBot="1">
      <c r="B3" s="189" t="s">
        <v>609</v>
      </c>
    </row>
    <row r="4" spans="2:26" ht="15" customHeight="1">
      <c r="B4" s="580" t="s">
        <v>547</v>
      </c>
      <c r="C4" s="581"/>
      <c r="D4" s="581"/>
      <c r="E4" s="581"/>
      <c r="F4" s="581"/>
      <c r="G4" s="582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2:26" ht="15" customHeight="1">
      <c r="B5" s="85"/>
      <c r="C5" s="98">
        <v>2020</v>
      </c>
      <c r="D5" s="98">
        <v>2021</v>
      </c>
      <c r="E5" s="98">
        <v>2022</v>
      </c>
      <c r="F5" s="98">
        <v>2023</v>
      </c>
      <c r="G5" s="164">
        <v>2024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2:26" ht="15" customHeight="1">
      <c r="B6" s="85" t="s">
        <v>513</v>
      </c>
      <c r="C6" s="83"/>
      <c r="D6" s="83"/>
      <c r="E6" s="83"/>
      <c r="F6" s="83"/>
      <c r="G6" s="88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2:26" ht="15" customHeight="1">
      <c r="B7" s="192" t="s">
        <v>548</v>
      </c>
      <c r="C7" s="190">
        <f>'Income statement'!B5</f>
        <v>10560719</v>
      </c>
      <c r="D7" s="190">
        <f>'Income statement'!C5</f>
        <v>9241787</v>
      </c>
      <c r="E7" s="190">
        <f>'Income statement'!D5</f>
        <v>12660706</v>
      </c>
      <c r="F7" s="190">
        <f>'Income statement'!E5</f>
        <v>14473142</v>
      </c>
      <c r="G7" s="193">
        <f>'Income statement'!F5</f>
        <v>14950204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2:26" ht="15" customHeight="1">
      <c r="B8" s="194" t="s">
        <v>549</v>
      </c>
      <c r="C8" s="191">
        <f t="shared" ref="C8:G8" si="0">C7</f>
        <v>10560719</v>
      </c>
      <c r="D8" s="191">
        <f t="shared" si="0"/>
        <v>9241787</v>
      </c>
      <c r="E8" s="191">
        <f t="shared" si="0"/>
        <v>12660706</v>
      </c>
      <c r="F8" s="191">
        <f t="shared" si="0"/>
        <v>14473142</v>
      </c>
      <c r="G8" s="195">
        <f t="shared" si="0"/>
        <v>14950204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2:26" ht="15" customHeight="1">
      <c r="B9" s="192" t="s">
        <v>550</v>
      </c>
      <c r="C9" s="190">
        <f>-'Income statement'!B15</f>
        <v>-5324267</v>
      </c>
      <c r="D9" s="190">
        <f>-'Income statement'!C15</f>
        <v>-4922052</v>
      </c>
      <c r="E9" s="190">
        <f>-'Income statement'!D15</f>
        <v>-6273959</v>
      </c>
      <c r="F9" s="190">
        <f>-'Income statement'!E15</f>
        <v>-7792575</v>
      </c>
      <c r="G9" s="193">
        <f>-'Income statement'!F15</f>
        <v>-6960697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2:26" ht="15" customHeight="1">
      <c r="B10" s="192" t="s">
        <v>551</v>
      </c>
      <c r="C10" s="190">
        <f>-('Income statement'!B16+'Income statement'!B17+'Income statement'!B18+'Income statement'!B34+'Income statement'!B31)</f>
        <v>-4534698</v>
      </c>
      <c r="D10" s="190">
        <f>-('Income statement'!C16+'Income statement'!C17+'Income statement'!C18+'Income statement'!C34+'Income statement'!C31)</f>
        <v>-3430217</v>
      </c>
      <c r="E10" s="190">
        <f>-('Income statement'!D16+'Income statement'!D17+'Income statement'!D18+'Income statement'!D34+'Income statement'!D31)</f>
        <v>-4913467</v>
      </c>
      <c r="F10" s="190">
        <f>-('Income statement'!E16+'Income statement'!E17+'Income statement'!E18+'Income statement'!E34+'Income statement'!E31)</f>
        <v>-5071866</v>
      </c>
      <c r="G10" s="193">
        <f>-('Income statement'!F16+'Income statement'!F17+'Income statement'!F18+'Income statement'!F34+'Income statement'!F31)</f>
        <v>-6476440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2:26" ht="15" customHeight="1">
      <c r="B11" s="192" t="s">
        <v>552</v>
      </c>
      <c r="C11" s="190">
        <f>-'Income statement'!B25</f>
        <v>-393099</v>
      </c>
      <c r="D11" s="190">
        <f>-'Income statement'!C25</f>
        <v>-342652</v>
      </c>
      <c r="E11" s="190">
        <f>-'Income statement'!D25</f>
        <v>-584234</v>
      </c>
      <c r="F11" s="190">
        <f>-'Income statement'!E25</f>
        <v>-352969</v>
      </c>
      <c r="G11" s="193">
        <f>-'Income statement'!F25</f>
        <v>-406658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2:26" ht="15" customHeight="1">
      <c r="B12" s="194" t="s">
        <v>553</v>
      </c>
      <c r="C12" s="191">
        <f t="shared" ref="C12:G12" si="1">SUM(C9:C11)</f>
        <v>-10252064</v>
      </c>
      <c r="D12" s="191">
        <f t="shared" si="1"/>
        <v>-8694921</v>
      </c>
      <c r="E12" s="191">
        <f t="shared" si="1"/>
        <v>-11771660</v>
      </c>
      <c r="F12" s="191">
        <f t="shared" si="1"/>
        <v>-13217410</v>
      </c>
      <c r="G12" s="195">
        <f t="shared" si="1"/>
        <v>-13843795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2:26" ht="15" customHeight="1">
      <c r="B13" s="194" t="s">
        <v>554</v>
      </c>
      <c r="C13" s="191">
        <f t="shared" ref="C13:G13" si="2">C8+C12</f>
        <v>308655</v>
      </c>
      <c r="D13" s="191">
        <f t="shared" si="2"/>
        <v>546866</v>
      </c>
      <c r="E13" s="191">
        <f t="shared" si="2"/>
        <v>889046</v>
      </c>
      <c r="F13" s="191">
        <f t="shared" si="2"/>
        <v>1255732</v>
      </c>
      <c r="G13" s="195">
        <f t="shared" si="2"/>
        <v>1106409</v>
      </c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2:26" ht="15" customHeight="1">
      <c r="B14" s="192" t="s">
        <v>555</v>
      </c>
      <c r="C14" s="190">
        <f>'Income statement'!B44</f>
        <v>584</v>
      </c>
      <c r="D14" s="190">
        <f>'Income statement'!C44</f>
        <v>291</v>
      </c>
      <c r="E14" s="190">
        <f>'Income statement'!D44</f>
        <v>258</v>
      </c>
      <c r="F14" s="190">
        <f>'Income statement'!E44</f>
        <v>333</v>
      </c>
      <c r="G14" s="193">
        <f>'Income statement'!F44</f>
        <v>74265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2:26" ht="15" customHeight="1">
      <c r="B15" s="192" t="s">
        <v>556</v>
      </c>
      <c r="C15" s="190">
        <f>-'Income statement'!B54</f>
        <v>-191809</v>
      </c>
      <c r="D15" s="190">
        <f>-'Income statement'!C54</f>
        <v>-166922</v>
      </c>
      <c r="E15" s="190">
        <f>-'Income statement'!D54</f>
        <v>-173690</v>
      </c>
      <c r="F15" s="190">
        <f>-'Income statement'!E54</f>
        <v>-240050</v>
      </c>
      <c r="G15" s="193">
        <f>-'Income statement'!F54</f>
        <v>-382279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2:26" ht="14.4">
      <c r="B16" s="192" t="s">
        <v>557</v>
      </c>
      <c r="C16" s="190">
        <f>'Income statement'!B57</f>
        <v>-119</v>
      </c>
      <c r="D16" s="190">
        <f>'Income statement'!C57</f>
        <v>-62</v>
      </c>
      <c r="E16" s="190">
        <f>'Income statement'!D57</f>
        <v>-33</v>
      </c>
      <c r="F16" s="190">
        <f>'Income statement'!E57</f>
        <v>-14</v>
      </c>
      <c r="G16" s="193">
        <f>'Income statement'!F57</f>
        <v>-46</v>
      </c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2:26" ht="14.4">
      <c r="B17" s="194" t="s">
        <v>558</v>
      </c>
      <c r="C17" s="191">
        <f t="shared" ref="C17:G17" si="3">SUM(C14:C16)</f>
        <v>-191344</v>
      </c>
      <c r="D17" s="191">
        <f t="shared" si="3"/>
        <v>-166693</v>
      </c>
      <c r="E17" s="191">
        <f t="shared" si="3"/>
        <v>-173465</v>
      </c>
      <c r="F17" s="191">
        <f t="shared" si="3"/>
        <v>-239731</v>
      </c>
      <c r="G17" s="195">
        <f t="shared" si="3"/>
        <v>-308060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2:26" ht="14.4">
      <c r="B18" s="196" t="s">
        <v>559</v>
      </c>
      <c r="C18" s="191">
        <f>'Income statement'!B59</f>
        <v>-89095</v>
      </c>
      <c r="D18" s="191">
        <v>0</v>
      </c>
      <c r="E18" s="191">
        <v>0</v>
      </c>
      <c r="F18" s="191">
        <v>0</v>
      </c>
      <c r="G18" s="195">
        <v>0</v>
      </c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2:26" ht="14.4">
      <c r="B19" s="194" t="s">
        <v>560</v>
      </c>
      <c r="C19" s="191">
        <f>C13+C17+C18</f>
        <v>28216</v>
      </c>
      <c r="D19" s="191">
        <f t="shared" ref="D19:G19" si="4">D13+D17</f>
        <v>380173</v>
      </c>
      <c r="E19" s="191">
        <f t="shared" si="4"/>
        <v>715581</v>
      </c>
      <c r="F19" s="191">
        <f t="shared" si="4"/>
        <v>1016001</v>
      </c>
      <c r="G19" s="195">
        <f t="shared" si="4"/>
        <v>798349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2:26" ht="14.4">
      <c r="B20" s="192" t="s">
        <v>561</v>
      </c>
      <c r="C20" s="190">
        <f>-'Income statement'!B82</f>
        <v>-8512</v>
      </c>
      <c r="D20" s="190">
        <f>-'Income statement'!C82</f>
        <v>-75423</v>
      </c>
      <c r="E20" s="190">
        <f>-'Income statement'!D82</f>
        <v>-201773</v>
      </c>
      <c r="F20" s="190">
        <f>-'Income statement'!E82</f>
        <v>-239221</v>
      </c>
      <c r="G20" s="193">
        <f>-'Income statement'!F82</f>
        <v>-126060</v>
      </c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2:26" thickBot="1">
      <c r="B21" s="197" t="s">
        <v>562</v>
      </c>
      <c r="C21" s="198">
        <f t="shared" ref="C21:G21" si="5">C19+C20</f>
        <v>19704</v>
      </c>
      <c r="D21" s="198">
        <f t="shared" si="5"/>
        <v>304750</v>
      </c>
      <c r="E21" s="198">
        <f t="shared" si="5"/>
        <v>513808</v>
      </c>
      <c r="F21" s="198">
        <f t="shared" si="5"/>
        <v>776780</v>
      </c>
      <c r="G21" s="199">
        <f t="shared" si="5"/>
        <v>672289</v>
      </c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2:26" ht="14.4">
      <c r="B22" s="66"/>
      <c r="C22" s="66"/>
      <c r="D22" s="70"/>
      <c r="E22" s="70"/>
      <c r="F22" s="70"/>
      <c r="G22" s="70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2:26" ht="14.4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2:26" ht="14.4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2:26" ht="14.4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2:26" ht="18.600000000000001" thickBot="1">
      <c r="B26" s="189" t="s">
        <v>609</v>
      </c>
      <c r="C26" s="66"/>
      <c r="D26" s="66"/>
      <c r="E26" s="66"/>
      <c r="F26" s="66"/>
      <c r="G26" s="66"/>
      <c r="H26" s="66"/>
      <c r="I26" s="66"/>
      <c r="J26" s="189" t="s">
        <v>609</v>
      </c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2:26" ht="18">
      <c r="B27" s="580" t="s">
        <v>563</v>
      </c>
      <c r="C27" s="581"/>
      <c r="D27" s="581"/>
      <c r="E27" s="581"/>
      <c r="F27" s="581"/>
      <c r="G27" s="582"/>
      <c r="H27" s="66"/>
      <c r="I27" s="66"/>
      <c r="J27" s="580" t="s">
        <v>563</v>
      </c>
      <c r="K27" s="589"/>
      <c r="L27" s="589"/>
      <c r="M27" s="589"/>
      <c r="N27" s="589"/>
      <c r="O27" s="212"/>
      <c r="P27" s="66"/>
      <c r="Q27" s="586" t="s">
        <v>564</v>
      </c>
      <c r="R27" s="587"/>
      <c r="S27" s="587"/>
      <c r="T27" s="588"/>
      <c r="U27" s="66"/>
      <c r="V27" s="66"/>
      <c r="W27" s="66"/>
      <c r="X27" s="66"/>
      <c r="Y27" s="66"/>
      <c r="Z27" s="66"/>
    </row>
    <row r="28" spans="2:26" ht="14.4">
      <c r="B28" s="85"/>
      <c r="C28" s="98">
        <v>2020</v>
      </c>
      <c r="D28" s="98">
        <v>2021</v>
      </c>
      <c r="E28" s="98">
        <v>2022</v>
      </c>
      <c r="F28" s="98">
        <v>2023</v>
      </c>
      <c r="G28" s="164">
        <v>2024</v>
      </c>
      <c r="H28" s="66"/>
      <c r="I28" s="66"/>
      <c r="J28" s="85"/>
      <c r="K28" s="98">
        <v>2020</v>
      </c>
      <c r="L28" s="98">
        <v>2021</v>
      </c>
      <c r="M28" s="98">
        <v>2022</v>
      </c>
      <c r="N28" s="98">
        <v>2023</v>
      </c>
      <c r="O28" s="164">
        <v>2024</v>
      </c>
      <c r="P28" s="66"/>
      <c r="Q28" s="99">
        <v>2022</v>
      </c>
      <c r="R28" s="98">
        <v>2023</v>
      </c>
      <c r="S28" s="98">
        <v>2024</v>
      </c>
      <c r="T28" s="216" t="s">
        <v>512</v>
      </c>
      <c r="U28" s="66"/>
      <c r="V28" s="66"/>
      <c r="W28" s="66"/>
      <c r="X28" s="66"/>
      <c r="Y28" s="66"/>
      <c r="Z28" s="66"/>
    </row>
    <row r="29" spans="2:26" ht="14.4">
      <c r="B29" s="85" t="s">
        <v>513</v>
      </c>
      <c r="C29" s="83"/>
      <c r="D29" s="83"/>
      <c r="E29" s="83"/>
      <c r="F29" s="83"/>
      <c r="G29" s="88"/>
      <c r="H29" s="66"/>
      <c r="I29" s="71"/>
      <c r="J29" s="85" t="s">
        <v>513</v>
      </c>
      <c r="K29" s="83"/>
      <c r="L29" s="83"/>
      <c r="M29" s="83"/>
      <c r="N29" s="83"/>
      <c r="O29" s="88"/>
      <c r="P29" s="71"/>
      <c r="Q29" s="225"/>
      <c r="R29" s="161"/>
      <c r="S29" s="161"/>
      <c r="T29" s="167"/>
      <c r="U29" s="66"/>
      <c r="V29" s="66"/>
      <c r="W29" s="66"/>
      <c r="X29" s="66"/>
      <c r="Y29" s="66"/>
      <c r="Z29" s="66"/>
    </row>
    <row r="30" spans="2:26" ht="14.4">
      <c r="B30" s="168" t="s">
        <v>565</v>
      </c>
      <c r="C30" s="89">
        <f t="shared" ref="C30:G30" si="6">C7</f>
        <v>10560719</v>
      </c>
      <c r="D30" s="89">
        <f t="shared" si="6"/>
        <v>9241787</v>
      </c>
      <c r="E30" s="89">
        <f t="shared" si="6"/>
        <v>12660706</v>
      </c>
      <c r="F30" s="89">
        <f t="shared" si="6"/>
        <v>14473142</v>
      </c>
      <c r="G30" s="92">
        <f t="shared" si="6"/>
        <v>14950204</v>
      </c>
      <c r="H30" s="66"/>
      <c r="I30" s="71"/>
      <c r="J30" s="168" t="s">
        <v>565</v>
      </c>
      <c r="K30" s="161">
        <f t="shared" ref="K30:K45" si="7">C30/$C$30</f>
        <v>1</v>
      </c>
      <c r="L30" s="161">
        <f t="shared" ref="L30:L45" si="8">D30/$D$30</f>
        <v>1</v>
      </c>
      <c r="M30" s="161">
        <f t="shared" ref="M30:M45" si="9">E30/$E$30</f>
        <v>1</v>
      </c>
      <c r="N30" s="161">
        <f t="shared" ref="N30:N45" si="10">F30/$F$30</f>
        <v>1</v>
      </c>
      <c r="O30" s="167">
        <f t="shared" ref="O30:O41" si="11">G30/$G$30</f>
        <v>1</v>
      </c>
      <c r="P30" s="71"/>
      <c r="Q30" s="225">
        <f>(E30/D30)-1</f>
        <v>0.3699413327747112</v>
      </c>
      <c r="R30" s="161">
        <f t="shared" ref="R30:S30" si="12">(F30/E30)-1</f>
        <v>0.14315441808695351</v>
      </c>
      <c r="S30" s="161">
        <f t="shared" si="12"/>
        <v>3.2961882084760807E-2</v>
      </c>
      <c r="T30" s="167">
        <f t="shared" ref="T30:T41" si="13">((G30/D30)^(1/3))-1</f>
        <v>0.17389806827032039</v>
      </c>
      <c r="U30" s="66"/>
      <c r="V30" s="66"/>
      <c r="W30" s="66"/>
      <c r="X30" s="66"/>
      <c r="Y30" s="66"/>
      <c r="Z30" s="66"/>
    </row>
    <row r="31" spans="2:26" ht="14.4">
      <c r="B31" s="168" t="s">
        <v>566</v>
      </c>
      <c r="C31" s="89">
        <f t="shared" ref="C31:G31" si="14">C9</f>
        <v>-5324267</v>
      </c>
      <c r="D31" s="89">
        <f t="shared" si="14"/>
        <v>-4922052</v>
      </c>
      <c r="E31" s="89">
        <f t="shared" si="14"/>
        <v>-6273959</v>
      </c>
      <c r="F31" s="89">
        <f t="shared" si="14"/>
        <v>-7792575</v>
      </c>
      <c r="G31" s="92">
        <f t="shared" si="14"/>
        <v>-6960697</v>
      </c>
      <c r="H31" s="66"/>
      <c r="I31" s="71"/>
      <c r="J31" s="168" t="s">
        <v>566</v>
      </c>
      <c r="K31" s="161">
        <f t="shared" si="7"/>
        <v>-0.50415762411631249</v>
      </c>
      <c r="L31" s="161">
        <f t="shared" si="8"/>
        <v>-0.53258660906164579</v>
      </c>
      <c r="M31" s="161">
        <f t="shared" si="9"/>
        <v>-0.49554574602711726</v>
      </c>
      <c r="N31" s="161">
        <f t="shared" si="10"/>
        <v>-0.53841626096116513</v>
      </c>
      <c r="O31" s="167">
        <f t="shared" si="11"/>
        <v>-0.46559210830835485</v>
      </c>
      <c r="P31" s="71"/>
      <c r="Q31" s="225">
        <f t="shared" ref="Q31:Q45" si="15">(E31/D31)-1</f>
        <v>0.27466329083886154</v>
      </c>
      <c r="R31" s="161">
        <f t="shared" ref="R31:R45" si="16">(F31/E31)-1</f>
        <v>0.24205067326707108</v>
      </c>
      <c r="S31" s="161">
        <f t="shared" ref="S31:S45" si="17">(G31/F31)-1</f>
        <v>-0.10675264594822631</v>
      </c>
      <c r="T31" s="167">
        <f t="shared" si="13"/>
        <v>0.12245475457706156</v>
      </c>
      <c r="U31" s="66"/>
      <c r="V31" s="66"/>
      <c r="W31" s="66"/>
      <c r="X31" s="66"/>
      <c r="Y31" s="66"/>
      <c r="Z31" s="66"/>
    </row>
    <row r="32" spans="2:26" ht="14.4">
      <c r="B32" s="201" t="s">
        <v>567</v>
      </c>
      <c r="C32" s="90">
        <f t="shared" ref="C32:G32" si="18">C30+C31</f>
        <v>5236452</v>
      </c>
      <c r="D32" s="90">
        <f t="shared" si="18"/>
        <v>4319735</v>
      </c>
      <c r="E32" s="90">
        <f t="shared" si="18"/>
        <v>6386747</v>
      </c>
      <c r="F32" s="90">
        <f t="shared" si="18"/>
        <v>6680567</v>
      </c>
      <c r="G32" s="94">
        <f t="shared" si="18"/>
        <v>7989507</v>
      </c>
      <c r="H32" s="66"/>
      <c r="I32" s="71"/>
      <c r="J32" s="201" t="s">
        <v>567</v>
      </c>
      <c r="K32" s="176">
        <f t="shared" si="7"/>
        <v>0.49584237588368746</v>
      </c>
      <c r="L32" s="176">
        <f t="shared" si="8"/>
        <v>0.46741339093835421</v>
      </c>
      <c r="M32" s="176">
        <f t="shared" si="9"/>
        <v>0.50445425397288268</v>
      </c>
      <c r="N32" s="176">
        <f t="shared" si="10"/>
        <v>0.46158373903883482</v>
      </c>
      <c r="O32" s="178">
        <f t="shared" si="11"/>
        <v>0.53440789169164515</v>
      </c>
      <c r="P32" s="71"/>
      <c r="Q32" s="226">
        <f t="shared" si="15"/>
        <v>0.47850435269756142</v>
      </c>
      <c r="R32" s="176">
        <f t="shared" si="16"/>
        <v>4.6004640547057774E-2</v>
      </c>
      <c r="S32" s="176">
        <f t="shared" si="17"/>
        <v>0.19593247100133859</v>
      </c>
      <c r="T32" s="178">
        <f t="shared" si="13"/>
        <v>0.22749846804223273</v>
      </c>
      <c r="U32" s="66"/>
      <c r="V32" s="66"/>
      <c r="W32" s="66"/>
      <c r="X32" s="66"/>
      <c r="Y32" s="66"/>
      <c r="Z32" s="66"/>
    </row>
    <row r="33" spans="2:26" ht="14.4">
      <c r="B33" s="165" t="s">
        <v>568</v>
      </c>
      <c r="C33" s="200">
        <f t="shared" ref="C33:G33" si="19">C34</f>
        <v>-393099</v>
      </c>
      <c r="D33" s="200">
        <f t="shared" si="19"/>
        <v>-342652</v>
      </c>
      <c r="E33" s="200">
        <f t="shared" si="19"/>
        <v>-584234</v>
      </c>
      <c r="F33" s="200">
        <f t="shared" si="19"/>
        <v>-352969</v>
      </c>
      <c r="G33" s="202">
        <f t="shared" si="19"/>
        <v>-406658</v>
      </c>
      <c r="H33" s="66"/>
      <c r="I33" s="71"/>
      <c r="J33" s="165" t="s">
        <v>568</v>
      </c>
      <c r="K33" s="161">
        <f t="shared" si="7"/>
        <v>-3.7222749701038345E-2</v>
      </c>
      <c r="L33" s="161">
        <f t="shared" si="8"/>
        <v>-3.7076379275999327E-2</v>
      </c>
      <c r="M33" s="161">
        <f t="shared" si="9"/>
        <v>-4.6145451920295753E-2</v>
      </c>
      <c r="N33" s="161">
        <f t="shared" si="10"/>
        <v>-2.4387862704587572E-2</v>
      </c>
      <c r="O33" s="167">
        <f t="shared" si="11"/>
        <v>-2.720083284482272E-2</v>
      </c>
      <c r="P33" s="71"/>
      <c r="Q33" s="225">
        <f t="shared" si="15"/>
        <v>0.70503601321457343</v>
      </c>
      <c r="R33" s="161">
        <f t="shared" si="16"/>
        <v>-0.39584310396176869</v>
      </c>
      <c r="S33" s="161">
        <f t="shared" si="17"/>
        <v>0.15210684224393645</v>
      </c>
      <c r="T33" s="167">
        <f t="shared" si="13"/>
        <v>5.8746570195426395E-2</v>
      </c>
      <c r="U33" s="66"/>
      <c r="V33" s="66"/>
      <c r="W33" s="66"/>
      <c r="X33" s="66"/>
      <c r="Y33" s="66"/>
      <c r="Z33" s="66"/>
    </row>
    <row r="34" spans="2:26" ht="14.4">
      <c r="B34" s="203" t="str">
        <f t="shared" ref="B34:G34" si="20">B11</f>
        <v>Total depreciation, amortization &amp; depletion</v>
      </c>
      <c r="C34" s="89">
        <f t="shared" si="20"/>
        <v>-393099</v>
      </c>
      <c r="D34" s="89">
        <f t="shared" si="20"/>
        <v>-342652</v>
      </c>
      <c r="E34" s="89">
        <f t="shared" si="20"/>
        <v>-584234</v>
      </c>
      <c r="F34" s="89">
        <f t="shared" si="20"/>
        <v>-352969</v>
      </c>
      <c r="G34" s="92">
        <f t="shared" si="20"/>
        <v>-406658</v>
      </c>
      <c r="H34" s="66"/>
      <c r="I34" s="71"/>
      <c r="J34" s="203" t="str">
        <f>B34</f>
        <v>Total depreciation, amortization &amp; depletion</v>
      </c>
      <c r="K34" s="161">
        <f t="shared" si="7"/>
        <v>-3.7222749701038345E-2</v>
      </c>
      <c r="L34" s="161">
        <f t="shared" si="8"/>
        <v>-3.7076379275999327E-2</v>
      </c>
      <c r="M34" s="161">
        <f t="shared" si="9"/>
        <v>-4.6145451920295753E-2</v>
      </c>
      <c r="N34" s="161">
        <f t="shared" si="10"/>
        <v>-2.4387862704587572E-2</v>
      </c>
      <c r="O34" s="167">
        <f t="shared" si="11"/>
        <v>-2.720083284482272E-2</v>
      </c>
      <c r="P34" s="71"/>
      <c r="Q34" s="225">
        <f t="shared" si="15"/>
        <v>0.70503601321457343</v>
      </c>
      <c r="R34" s="161">
        <f t="shared" si="16"/>
        <v>-0.39584310396176869</v>
      </c>
      <c r="S34" s="161">
        <f t="shared" si="17"/>
        <v>0.15210684224393645</v>
      </c>
      <c r="T34" s="167">
        <f t="shared" si="13"/>
        <v>5.8746570195426395E-2</v>
      </c>
      <c r="U34" s="66"/>
      <c r="V34" s="66"/>
      <c r="W34" s="66"/>
      <c r="X34" s="66"/>
      <c r="Y34" s="66"/>
      <c r="Z34" s="66"/>
    </row>
    <row r="35" spans="2:26" ht="14.4">
      <c r="B35" s="201" t="s">
        <v>569</v>
      </c>
      <c r="C35" s="90">
        <f t="shared" ref="C35:G35" si="21">C32+C33</f>
        <v>4843353</v>
      </c>
      <c r="D35" s="90">
        <f t="shared" si="21"/>
        <v>3977083</v>
      </c>
      <c r="E35" s="90">
        <f t="shared" si="21"/>
        <v>5802513</v>
      </c>
      <c r="F35" s="90">
        <f t="shared" si="21"/>
        <v>6327598</v>
      </c>
      <c r="G35" s="94">
        <f t="shared" si="21"/>
        <v>7582849</v>
      </c>
      <c r="H35" s="66"/>
      <c r="I35" s="71"/>
      <c r="J35" s="201" t="s">
        <v>569</v>
      </c>
      <c r="K35" s="176">
        <f t="shared" si="7"/>
        <v>0.45861962618264912</v>
      </c>
      <c r="L35" s="176">
        <f t="shared" si="8"/>
        <v>0.43033701166235488</v>
      </c>
      <c r="M35" s="176">
        <f t="shared" si="9"/>
        <v>0.45830880205258695</v>
      </c>
      <c r="N35" s="176">
        <f t="shared" si="10"/>
        <v>0.43719587633424728</v>
      </c>
      <c r="O35" s="178">
        <f t="shared" si="11"/>
        <v>0.50720705884682238</v>
      </c>
      <c r="P35" s="71"/>
      <c r="Q35" s="226">
        <f t="shared" si="15"/>
        <v>0.45898715214140617</v>
      </c>
      <c r="R35" s="176">
        <f t="shared" si="16"/>
        <v>9.0492688254209863E-2</v>
      </c>
      <c r="S35" s="176">
        <f t="shared" si="17"/>
        <v>0.19837717250685016</v>
      </c>
      <c r="T35" s="178">
        <f t="shared" si="13"/>
        <v>0.24000256750375271</v>
      </c>
      <c r="U35" s="66"/>
      <c r="V35" s="66"/>
      <c r="W35" s="66"/>
      <c r="X35" s="66"/>
      <c r="Y35" s="66"/>
      <c r="Z35" s="66"/>
    </row>
    <row r="36" spans="2:26" ht="14.4">
      <c r="B36" s="165" t="s">
        <v>551</v>
      </c>
      <c r="C36" s="200">
        <f t="shared" ref="C36:G36" si="22">C10</f>
        <v>-4534698</v>
      </c>
      <c r="D36" s="200">
        <f t="shared" si="22"/>
        <v>-3430217</v>
      </c>
      <c r="E36" s="200">
        <f t="shared" si="22"/>
        <v>-4913467</v>
      </c>
      <c r="F36" s="200">
        <f t="shared" si="22"/>
        <v>-5071866</v>
      </c>
      <c r="G36" s="202">
        <f t="shared" si="22"/>
        <v>-6476440</v>
      </c>
      <c r="H36" s="66"/>
      <c r="I36" s="71"/>
      <c r="J36" s="165" t="s">
        <v>551</v>
      </c>
      <c r="K36" s="161">
        <f t="shared" si="7"/>
        <v>-0.4293929229629157</v>
      </c>
      <c r="L36" s="161">
        <f t="shared" si="8"/>
        <v>-0.37116382361982592</v>
      </c>
      <c r="M36" s="161">
        <f t="shared" si="9"/>
        <v>-0.38808791547643551</v>
      </c>
      <c r="N36" s="161">
        <f t="shared" si="10"/>
        <v>-0.35043296058312701</v>
      </c>
      <c r="O36" s="167">
        <f t="shared" si="11"/>
        <v>-0.43320077772851795</v>
      </c>
      <c r="P36" s="71"/>
      <c r="Q36" s="225">
        <f t="shared" si="15"/>
        <v>0.43240704596822876</v>
      </c>
      <c r="R36" s="161">
        <f t="shared" si="16"/>
        <v>3.2237725418731822E-2</v>
      </c>
      <c r="S36" s="161">
        <f t="shared" si="17"/>
        <v>0.2769343669568558</v>
      </c>
      <c r="T36" s="167">
        <f t="shared" si="13"/>
        <v>0.23596142714015489</v>
      </c>
      <c r="U36" s="66"/>
      <c r="V36" s="66"/>
      <c r="W36" s="66"/>
      <c r="X36" s="66"/>
      <c r="Y36" s="66"/>
      <c r="Z36" s="66"/>
    </row>
    <row r="37" spans="2:26" ht="14.4">
      <c r="B37" s="201" t="s">
        <v>570</v>
      </c>
      <c r="C37" s="90">
        <f t="shared" ref="C37:G37" si="23">C35+C36</f>
        <v>308655</v>
      </c>
      <c r="D37" s="90">
        <f t="shared" si="23"/>
        <v>546866</v>
      </c>
      <c r="E37" s="90">
        <f t="shared" si="23"/>
        <v>889046</v>
      </c>
      <c r="F37" s="90">
        <f t="shared" si="23"/>
        <v>1255732</v>
      </c>
      <c r="G37" s="94">
        <f t="shared" si="23"/>
        <v>1106409</v>
      </c>
      <c r="H37" s="66"/>
      <c r="I37" s="71"/>
      <c r="J37" s="201" t="s">
        <v>570</v>
      </c>
      <c r="K37" s="176">
        <f t="shared" si="7"/>
        <v>2.9226703219733429E-2</v>
      </c>
      <c r="L37" s="176">
        <f t="shared" si="8"/>
        <v>5.9173188042529003E-2</v>
      </c>
      <c r="M37" s="176">
        <f t="shared" si="9"/>
        <v>7.0220886576151442E-2</v>
      </c>
      <c r="N37" s="176">
        <f t="shared" si="10"/>
        <v>8.6762915751120245E-2</v>
      </c>
      <c r="O37" s="178">
        <f t="shared" si="11"/>
        <v>7.4006281118304471E-2</v>
      </c>
      <c r="P37" s="71"/>
      <c r="Q37" s="226">
        <f t="shared" si="15"/>
        <v>0.62571086884172722</v>
      </c>
      <c r="R37" s="176">
        <f t="shared" si="16"/>
        <v>0.41244884966582163</v>
      </c>
      <c r="S37" s="176">
        <f t="shared" si="17"/>
        <v>-0.11891311203345933</v>
      </c>
      <c r="T37" s="178">
        <f t="shared" si="13"/>
        <v>0.26477010648263199</v>
      </c>
      <c r="U37" s="66"/>
      <c r="V37" s="66"/>
      <c r="W37" s="66"/>
      <c r="X37" s="66"/>
      <c r="Y37" s="66"/>
      <c r="Z37" s="66"/>
    </row>
    <row r="38" spans="2:26" ht="14.4">
      <c r="B38" s="201" t="s">
        <v>571</v>
      </c>
      <c r="C38" s="90">
        <f>SUM(C39:C42)</f>
        <v>-280439</v>
      </c>
      <c r="D38" s="90">
        <f t="shared" ref="D38:G38" si="24">SUM(D39:D41)</f>
        <v>-166693</v>
      </c>
      <c r="E38" s="90">
        <f t="shared" si="24"/>
        <v>-173465</v>
      </c>
      <c r="F38" s="90">
        <f t="shared" si="24"/>
        <v>-239731</v>
      </c>
      <c r="G38" s="94">
        <f t="shared" si="24"/>
        <v>-308060</v>
      </c>
      <c r="H38" s="66"/>
      <c r="I38" s="71"/>
      <c r="J38" s="201" t="s">
        <v>571</v>
      </c>
      <c r="K38" s="176">
        <f t="shared" si="7"/>
        <v>-2.6554915437102342E-2</v>
      </c>
      <c r="L38" s="176">
        <f t="shared" si="8"/>
        <v>-1.8036879664073625E-2</v>
      </c>
      <c r="M38" s="176">
        <f t="shared" si="9"/>
        <v>-1.3701052690110646E-2</v>
      </c>
      <c r="N38" s="176">
        <f t="shared" si="10"/>
        <v>-1.6563853239331169E-2</v>
      </c>
      <c r="O38" s="178">
        <f t="shared" si="11"/>
        <v>-2.0605738891589707E-2</v>
      </c>
      <c r="P38" s="71"/>
      <c r="Q38" s="226">
        <f t="shared" si="15"/>
        <v>4.0625581158177049E-2</v>
      </c>
      <c r="R38" s="176">
        <f t="shared" si="16"/>
        <v>0.3820136626985271</v>
      </c>
      <c r="S38" s="176">
        <f t="shared" si="17"/>
        <v>0.28502363065268987</v>
      </c>
      <c r="T38" s="178">
        <f t="shared" si="13"/>
        <v>0.22717354063846162</v>
      </c>
      <c r="U38" s="66"/>
      <c r="V38" s="66"/>
      <c r="W38" s="66"/>
      <c r="X38" s="66"/>
      <c r="Y38" s="66"/>
      <c r="Z38" s="66"/>
    </row>
    <row r="39" spans="2:26" ht="14.4">
      <c r="B39" s="204" t="s">
        <v>572</v>
      </c>
      <c r="C39" s="89">
        <f t="shared" ref="C39:G39" si="25">C14</f>
        <v>584</v>
      </c>
      <c r="D39" s="89">
        <f t="shared" si="25"/>
        <v>291</v>
      </c>
      <c r="E39" s="89">
        <f t="shared" si="25"/>
        <v>258</v>
      </c>
      <c r="F39" s="89">
        <f t="shared" si="25"/>
        <v>333</v>
      </c>
      <c r="G39" s="92">
        <f t="shared" si="25"/>
        <v>74265</v>
      </c>
      <c r="H39" s="66"/>
      <c r="I39" s="71"/>
      <c r="J39" s="204" t="s">
        <v>572</v>
      </c>
      <c r="K39" s="161">
        <f t="shared" si="7"/>
        <v>5.52992651352621E-5</v>
      </c>
      <c r="L39" s="161">
        <f t="shared" si="8"/>
        <v>3.1487416881605258E-5</v>
      </c>
      <c r="M39" s="161">
        <f t="shared" si="9"/>
        <v>2.0378010515369364E-5</v>
      </c>
      <c r="N39" s="161">
        <f t="shared" si="10"/>
        <v>2.3008134653829832E-5</v>
      </c>
      <c r="O39" s="167">
        <f t="shared" si="11"/>
        <v>4.9674907446078994E-3</v>
      </c>
      <c r="P39" s="71"/>
      <c r="Q39" s="225">
        <f t="shared" si="15"/>
        <v>-0.11340206185567014</v>
      </c>
      <c r="R39" s="161">
        <f t="shared" si="16"/>
        <v>0.29069767441860472</v>
      </c>
      <c r="S39" s="161">
        <f t="shared" si="17"/>
        <v>222.01801801801801</v>
      </c>
      <c r="T39" s="167">
        <f t="shared" si="13"/>
        <v>5.3430343819797512</v>
      </c>
      <c r="U39" s="66"/>
      <c r="V39" s="66"/>
      <c r="W39" s="66"/>
      <c r="X39" s="66"/>
      <c r="Y39" s="66"/>
      <c r="Z39" s="66"/>
    </row>
    <row r="40" spans="2:26" ht="14.4">
      <c r="B40" s="204" t="s">
        <v>573</v>
      </c>
      <c r="C40" s="89">
        <f t="shared" ref="C40:G40" si="26">C15</f>
        <v>-191809</v>
      </c>
      <c r="D40" s="89">
        <f t="shared" si="26"/>
        <v>-166922</v>
      </c>
      <c r="E40" s="89">
        <f t="shared" si="26"/>
        <v>-173690</v>
      </c>
      <c r="F40" s="89">
        <f t="shared" si="26"/>
        <v>-240050</v>
      </c>
      <c r="G40" s="92">
        <f t="shared" si="26"/>
        <v>-382279</v>
      </c>
      <c r="H40" s="66"/>
      <c r="I40" s="71"/>
      <c r="J40" s="204" t="s">
        <v>573</v>
      </c>
      <c r="K40" s="161">
        <f t="shared" si="7"/>
        <v>-1.8162494428646384E-2</v>
      </c>
      <c r="L40" s="161">
        <f t="shared" si="8"/>
        <v>-1.8061658421688359E-2</v>
      </c>
      <c r="M40" s="161">
        <f t="shared" si="9"/>
        <v>-1.3718824210908934E-2</v>
      </c>
      <c r="N40" s="161">
        <f t="shared" si="10"/>
        <v>-1.6585894065020573E-2</v>
      </c>
      <c r="O40" s="167">
        <f t="shared" si="11"/>
        <v>-2.5570152755106219E-2</v>
      </c>
      <c r="P40" s="71"/>
      <c r="Q40" s="225">
        <f t="shared" si="15"/>
        <v>4.0545883706162078E-2</v>
      </c>
      <c r="R40" s="161">
        <f t="shared" si="16"/>
        <v>0.38205999193966256</v>
      </c>
      <c r="S40" s="161">
        <f t="shared" si="17"/>
        <v>0.59249739637575516</v>
      </c>
      <c r="T40" s="167">
        <f t="shared" si="13"/>
        <v>0.3181220361197219</v>
      </c>
      <c r="U40" s="66"/>
      <c r="V40" s="66"/>
      <c r="W40" s="66"/>
      <c r="X40" s="66"/>
      <c r="Y40" s="66"/>
      <c r="Z40" s="66"/>
    </row>
    <row r="41" spans="2:26" ht="14.4">
      <c r="B41" s="205" t="str">
        <f t="shared" ref="B41:G41" si="27">B16</f>
        <v>Other non-operating and financial income (expenses)</v>
      </c>
      <c r="C41" s="89">
        <f t="shared" si="27"/>
        <v>-119</v>
      </c>
      <c r="D41" s="89">
        <f t="shared" si="27"/>
        <v>-62</v>
      </c>
      <c r="E41" s="89">
        <f t="shared" si="27"/>
        <v>-33</v>
      </c>
      <c r="F41" s="89">
        <f t="shared" si="27"/>
        <v>-14</v>
      </c>
      <c r="G41" s="92">
        <f t="shared" si="27"/>
        <v>-46</v>
      </c>
      <c r="H41" s="66"/>
      <c r="I41" s="71"/>
      <c r="J41" s="204" t="s">
        <v>574</v>
      </c>
      <c r="K41" s="161">
        <f t="shared" si="7"/>
        <v>-1.1268172176534572E-5</v>
      </c>
      <c r="L41" s="161">
        <f t="shared" si="8"/>
        <v>-6.7086592668712234E-6</v>
      </c>
      <c r="M41" s="161">
        <f t="shared" si="9"/>
        <v>-2.6064897170821281E-6</v>
      </c>
      <c r="N41" s="161">
        <f t="shared" si="10"/>
        <v>-9.6730896442527825E-7</v>
      </c>
      <c r="O41" s="167">
        <f t="shared" si="11"/>
        <v>-3.0768810913884521E-6</v>
      </c>
      <c r="P41" s="71"/>
      <c r="Q41" s="225">
        <f t="shared" si="15"/>
        <v>-0.467741935483871</v>
      </c>
      <c r="R41" s="161">
        <f t="shared" si="16"/>
        <v>-0.57575757575757569</v>
      </c>
      <c r="S41" s="161">
        <f t="shared" si="17"/>
        <v>2.2857142857142856</v>
      </c>
      <c r="T41" s="167">
        <f t="shared" si="13"/>
        <v>-9.470793433242275E-2</v>
      </c>
      <c r="U41" s="66"/>
      <c r="V41" s="66"/>
      <c r="W41" s="66"/>
      <c r="X41" s="66"/>
      <c r="Y41" s="66"/>
      <c r="Z41" s="66"/>
    </row>
    <row r="42" spans="2:26" ht="14.4">
      <c r="B42" s="204" t="s">
        <v>575</v>
      </c>
      <c r="C42" s="89">
        <f>'Income statement'!B59</f>
        <v>-89095</v>
      </c>
      <c r="D42" s="89">
        <v>0</v>
      </c>
      <c r="E42" s="89">
        <v>0</v>
      </c>
      <c r="F42" s="89">
        <v>0</v>
      </c>
      <c r="G42" s="92">
        <v>0</v>
      </c>
      <c r="H42" s="66"/>
      <c r="I42" s="71"/>
      <c r="J42" s="213" t="s">
        <v>575</v>
      </c>
      <c r="K42" s="161">
        <f t="shared" si="7"/>
        <v>-8.4364521014146862E-3</v>
      </c>
      <c r="L42" s="161">
        <f t="shared" si="8"/>
        <v>0</v>
      </c>
      <c r="M42" s="161">
        <f t="shared" si="9"/>
        <v>0</v>
      </c>
      <c r="N42" s="161">
        <f t="shared" si="10"/>
        <v>0</v>
      </c>
      <c r="O42" s="167">
        <f>G42/$F$30</f>
        <v>0</v>
      </c>
      <c r="P42" s="71"/>
      <c r="Q42" s="232">
        <v>0</v>
      </c>
      <c r="R42" s="232">
        <v>0</v>
      </c>
      <c r="S42" s="232">
        <v>0</v>
      </c>
      <c r="T42" s="232">
        <v>0</v>
      </c>
      <c r="U42" s="66"/>
      <c r="V42" s="66"/>
      <c r="W42" s="66"/>
      <c r="X42" s="66"/>
      <c r="Y42" s="66"/>
      <c r="Z42" s="66"/>
    </row>
    <row r="43" spans="2:26" ht="14.4">
      <c r="B43" s="201" t="s">
        <v>576</v>
      </c>
      <c r="C43" s="90">
        <f t="shared" ref="C43:G43" si="28">C37+C38</f>
        <v>28216</v>
      </c>
      <c r="D43" s="90">
        <f t="shared" si="28"/>
        <v>380173</v>
      </c>
      <c r="E43" s="90">
        <f t="shared" si="28"/>
        <v>715581</v>
      </c>
      <c r="F43" s="90">
        <f t="shared" si="28"/>
        <v>1016001</v>
      </c>
      <c r="G43" s="94">
        <f t="shared" si="28"/>
        <v>798349</v>
      </c>
      <c r="H43" s="66"/>
      <c r="I43" s="71"/>
      <c r="J43" s="201" t="s">
        <v>576</v>
      </c>
      <c r="K43" s="176">
        <f t="shared" si="7"/>
        <v>2.6717877826310881E-3</v>
      </c>
      <c r="L43" s="176">
        <f t="shared" si="8"/>
        <v>4.1136308378455382E-2</v>
      </c>
      <c r="M43" s="176">
        <f t="shared" si="9"/>
        <v>5.6519833886040795E-2</v>
      </c>
      <c r="N43" s="176">
        <f t="shared" si="10"/>
        <v>7.0199062511789076E-2</v>
      </c>
      <c r="O43" s="178">
        <f t="shared" ref="O43:O45" si="29">G43/$G$30</f>
        <v>5.3400542226714767E-2</v>
      </c>
      <c r="P43" s="71"/>
      <c r="Q43" s="226">
        <f t="shared" si="15"/>
        <v>0.88225097521391582</v>
      </c>
      <c r="R43" s="176">
        <f t="shared" si="16"/>
        <v>0.41982668628708697</v>
      </c>
      <c r="S43" s="176">
        <f t="shared" si="17"/>
        <v>-0.21422419859822972</v>
      </c>
      <c r="T43" s="178">
        <f t="shared" ref="T43:T45" si="30">((G43/D43)^(1/3))-1</f>
        <v>0.28057151918205081</v>
      </c>
      <c r="U43" s="66"/>
      <c r="V43" s="66"/>
      <c r="W43" s="66"/>
      <c r="X43" s="66"/>
      <c r="Y43" s="66"/>
      <c r="Z43" s="66"/>
    </row>
    <row r="44" spans="2:26" ht="14.4">
      <c r="B44" s="168" t="s">
        <v>577</v>
      </c>
      <c r="C44" s="89">
        <f t="shared" ref="C44:G44" si="31">C20</f>
        <v>-8512</v>
      </c>
      <c r="D44" s="89">
        <f t="shared" si="31"/>
        <v>-75423</v>
      </c>
      <c r="E44" s="89">
        <f t="shared" si="31"/>
        <v>-201773</v>
      </c>
      <c r="F44" s="89">
        <f t="shared" si="31"/>
        <v>-239221</v>
      </c>
      <c r="G44" s="92">
        <f t="shared" si="31"/>
        <v>-126060</v>
      </c>
      <c r="H44" s="66"/>
      <c r="I44" s="71"/>
      <c r="J44" s="168" t="s">
        <v>577</v>
      </c>
      <c r="K44" s="161">
        <f t="shared" si="7"/>
        <v>-8.060057274509435E-4</v>
      </c>
      <c r="L44" s="161">
        <f t="shared" si="8"/>
        <v>-8.1610839981488426E-3</v>
      </c>
      <c r="M44" s="161">
        <f t="shared" si="9"/>
        <v>-1.5936946960145824E-2</v>
      </c>
      <c r="N44" s="161">
        <f t="shared" si="10"/>
        <v>-1.6528615555627107E-2</v>
      </c>
      <c r="O44" s="167">
        <f t="shared" si="29"/>
        <v>-8.431991964791918E-3</v>
      </c>
      <c r="P44" s="71"/>
      <c r="Q44" s="225">
        <f t="shared" si="15"/>
        <v>1.6752184346949868</v>
      </c>
      <c r="R44" s="161">
        <f t="shared" si="16"/>
        <v>0.18559470295827496</v>
      </c>
      <c r="S44" s="161">
        <f t="shared" si="17"/>
        <v>-0.47303957428486632</v>
      </c>
      <c r="T44" s="167">
        <f t="shared" si="30"/>
        <v>0.18674615511446291</v>
      </c>
      <c r="U44" s="66"/>
      <c r="V44" s="66"/>
      <c r="W44" s="66"/>
      <c r="X44" s="66"/>
      <c r="Y44" s="66"/>
      <c r="Z44" s="66"/>
    </row>
    <row r="45" spans="2:26" ht="14.4">
      <c r="B45" s="201" t="s">
        <v>578</v>
      </c>
      <c r="C45" s="90">
        <f t="shared" ref="C45:G45" si="32">C43+C44</f>
        <v>19704</v>
      </c>
      <c r="D45" s="90">
        <f t="shared" si="32"/>
        <v>304750</v>
      </c>
      <c r="E45" s="90">
        <f t="shared" si="32"/>
        <v>513808</v>
      </c>
      <c r="F45" s="90">
        <f t="shared" si="32"/>
        <v>776780</v>
      </c>
      <c r="G45" s="94">
        <f t="shared" si="32"/>
        <v>672289</v>
      </c>
      <c r="H45" s="66"/>
      <c r="I45" s="71"/>
      <c r="J45" s="201" t="s">
        <v>578</v>
      </c>
      <c r="K45" s="176">
        <f t="shared" si="7"/>
        <v>1.8657820551801444E-3</v>
      </c>
      <c r="L45" s="176">
        <f t="shared" si="8"/>
        <v>3.2975224380306534E-2</v>
      </c>
      <c r="M45" s="176">
        <f t="shared" si="9"/>
        <v>4.058288692589497E-2</v>
      </c>
      <c r="N45" s="176">
        <f t="shared" si="10"/>
        <v>5.3670446956161973E-2</v>
      </c>
      <c r="O45" s="178">
        <f t="shared" si="29"/>
        <v>4.4968550261922847E-2</v>
      </c>
      <c r="P45" s="71"/>
      <c r="Q45" s="226">
        <f t="shared" si="15"/>
        <v>0.68599835931091069</v>
      </c>
      <c r="R45" s="176">
        <f t="shared" si="16"/>
        <v>0.51180985893563347</v>
      </c>
      <c r="S45" s="176">
        <f t="shared" si="17"/>
        <v>-0.13451813898401088</v>
      </c>
      <c r="T45" s="178">
        <f t="shared" si="30"/>
        <v>0.30177950669111731</v>
      </c>
      <c r="U45" s="66"/>
      <c r="V45" s="66"/>
      <c r="W45" s="66"/>
      <c r="X45" s="66"/>
      <c r="Y45" s="66"/>
      <c r="Z45" s="66"/>
    </row>
    <row r="46" spans="2:26" ht="14.4">
      <c r="B46" s="168" t="s">
        <v>579</v>
      </c>
      <c r="C46" s="89" t="s">
        <v>405</v>
      </c>
      <c r="D46" s="89" t="s">
        <v>405</v>
      </c>
      <c r="E46" s="89" t="s">
        <v>405</v>
      </c>
      <c r="F46" s="89" t="s">
        <v>405</v>
      </c>
      <c r="G46" s="92" t="s">
        <v>405</v>
      </c>
      <c r="H46" s="66"/>
      <c r="I46" s="71"/>
      <c r="J46" s="168" t="s">
        <v>579</v>
      </c>
      <c r="K46" s="210" t="s">
        <v>405</v>
      </c>
      <c r="L46" s="210" t="s">
        <v>405</v>
      </c>
      <c r="M46" s="210" t="s">
        <v>405</v>
      </c>
      <c r="N46" s="210" t="s">
        <v>405</v>
      </c>
      <c r="O46" s="214" t="s">
        <v>405</v>
      </c>
      <c r="P46" s="71"/>
      <c r="Q46" s="227" t="s">
        <v>405</v>
      </c>
      <c r="R46" s="210" t="s">
        <v>405</v>
      </c>
      <c r="S46" s="210" t="s">
        <v>405</v>
      </c>
      <c r="T46" s="214" t="s">
        <v>405</v>
      </c>
      <c r="U46" s="66"/>
      <c r="V46" s="66"/>
      <c r="W46" s="66"/>
      <c r="X46" s="66"/>
      <c r="Y46" s="66"/>
      <c r="Z46" s="66"/>
    </row>
    <row r="47" spans="2:26" ht="14.4">
      <c r="B47" s="168" t="s">
        <v>580</v>
      </c>
      <c r="C47" s="89" t="s">
        <v>405</v>
      </c>
      <c r="D47" s="89" t="s">
        <v>405</v>
      </c>
      <c r="E47" s="89" t="s">
        <v>405</v>
      </c>
      <c r="F47" s="89" t="s">
        <v>405</v>
      </c>
      <c r="G47" s="92" t="s">
        <v>405</v>
      </c>
      <c r="H47" s="66"/>
      <c r="I47" s="71"/>
      <c r="J47" s="168" t="s">
        <v>580</v>
      </c>
      <c r="K47" s="211" t="s">
        <v>405</v>
      </c>
      <c r="L47" s="211" t="s">
        <v>405</v>
      </c>
      <c r="M47" s="211" t="s">
        <v>405</v>
      </c>
      <c r="N47" s="211" t="s">
        <v>405</v>
      </c>
      <c r="O47" s="215" t="s">
        <v>405</v>
      </c>
      <c r="P47" s="71"/>
      <c r="Q47" s="228" t="s">
        <v>405</v>
      </c>
      <c r="R47" s="211" t="s">
        <v>405</v>
      </c>
      <c r="S47" s="211" t="s">
        <v>405</v>
      </c>
      <c r="T47" s="215" t="s">
        <v>405</v>
      </c>
      <c r="U47" s="66"/>
      <c r="V47" s="66"/>
      <c r="W47" s="66"/>
      <c r="X47" s="66"/>
      <c r="Y47" s="66"/>
      <c r="Z47" s="66"/>
    </row>
    <row r="48" spans="2:26" ht="14.4">
      <c r="B48" s="168" t="s">
        <v>581</v>
      </c>
      <c r="C48" s="89" t="s">
        <v>405</v>
      </c>
      <c r="D48" s="89" t="s">
        <v>405</v>
      </c>
      <c r="E48" s="89" t="s">
        <v>405</v>
      </c>
      <c r="F48" s="89" t="s">
        <v>405</v>
      </c>
      <c r="G48" s="92" t="s">
        <v>405</v>
      </c>
      <c r="H48" s="66"/>
      <c r="I48" s="71"/>
      <c r="J48" s="168" t="s">
        <v>581</v>
      </c>
      <c r="K48" s="211" t="s">
        <v>405</v>
      </c>
      <c r="L48" s="211" t="s">
        <v>405</v>
      </c>
      <c r="M48" s="211" t="s">
        <v>405</v>
      </c>
      <c r="N48" s="211" t="s">
        <v>405</v>
      </c>
      <c r="O48" s="215" t="s">
        <v>405</v>
      </c>
      <c r="P48" s="71"/>
      <c r="Q48" s="228" t="s">
        <v>405</v>
      </c>
      <c r="R48" s="211" t="s">
        <v>405</v>
      </c>
      <c r="S48" s="211" t="s">
        <v>405</v>
      </c>
      <c r="T48" s="215" t="s">
        <v>405</v>
      </c>
      <c r="U48" s="66"/>
      <c r="V48" s="66"/>
      <c r="W48" s="66"/>
      <c r="X48" s="66"/>
      <c r="Y48" s="66"/>
      <c r="Z48" s="66"/>
    </row>
    <row r="49" spans="2:26" thickBot="1">
      <c r="B49" s="206" t="s">
        <v>582</v>
      </c>
      <c r="C49" s="96">
        <f t="shared" ref="C49:G49" si="33">SUM(C45:C48)</f>
        <v>19704</v>
      </c>
      <c r="D49" s="96">
        <f t="shared" si="33"/>
        <v>304750</v>
      </c>
      <c r="E49" s="96">
        <f t="shared" si="33"/>
        <v>513808</v>
      </c>
      <c r="F49" s="96">
        <f t="shared" si="33"/>
        <v>776780</v>
      </c>
      <c r="G49" s="97">
        <f t="shared" si="33"/>
        <v>672289</v>
      </c>
      <c r="H49" s="66"/>
      <c r="I49" s="66"/>
      <c r="J49" s="206" t="s">
        <v>582</v>
      </c>
      <c r="K49" s="180">
        <f>C49/$C$30</f>
        <v>1.8657820551801444E-3</v>
      </c>
      <c r="L49" s="180">
        <f>D49/$D$30</f>
        <v>3.2975224380306534E-2</v>
      </c>
      <c r="M49" s="180">
        <f>E49/$E$30</f>
        <v>4.058288692589497E-2</v>
      </c>
      <c r="N49" s="180">
        <f>F49/$F$30</f>
        <v>5.3670446956161973E-2</v>
      </c>
      <c r="O49" s="181">
        <f>G49/$G$30</f>
        <v>4.4968550261922847E-2</v>
      </c>
      <c r="P49" s="66"/>
      <c r="Q49" s="229">
        <f>M49-L49</f>
        <v>7.6076625455884367E-3</v>
      </c>
      <c r="R49" s="180">
        <f>N49-M49</f>
        <v>1.3087560030267002E-2</v>
      </c>
      <c r="S49" s="180">
        <f>O49-N49</f>
        <v>-8.7018966942391252E-3</v>
      </c>
      <c r="T49" s="181">
        <f>((G49/D49)^(1/3))-1</f>
        <v>0.30177950669111731</v>
      </c>
      <c r="U49" s="66"/>
      <c r="V49" s="66"/>
      <c r="W49" s="66"/>
      <c r="X49" s="66"/>
      <c r="Y49" s="66"/>
      <c r="Z49" s="66"/>
    </row>
    <row r="50" spans="2:26" ht="14.4"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72"/>
      <c r="R50" s="72"/>
      <c r="S50" s="72"/>
      <c r="T50" s="66"/>
      <c r="U50" s="66"/>
      <c r="V50" s="66"/>
      <c r="W50" s="66"/>
      <c r="X50" s="66"/>
      <c r="Y50" s="66"/>
      <c r="Z50" s="66"/>
    </row>
    <row r="51" spans="2:26" ht="14.4"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72"/>
      <c r="R51" s="72"/>
      <c r="S51" s="72"/>
      <c r="T51" s="66"/>
      <c r="U51" s="66"/>
      <c r="V51" s="66"/>
      <c r="W51" s="66"/>
      <c r="X51" s="66"/>
      <c r="Y51" s="66"/>
      <c r="Z51" s="66"/>
    </row>
    <row r="52" spans="2:26" ht="18.600000000000001" thickBot="1">
      <c r="B52" s="189" t="s">
        <v>609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72"/>
      <c r="R52" s="72"/>
      <c r="S52" s="72"/>
      <c r="T52" s="66"/>
      <c r="U52" s="66"/>
      <c r="V52" s="66"/>
      <c r="W52" s="66"/>
      <c r="X52" s="66"/>
      <c r="Y52" s="66"/>
      <c r="Z52" s="66"/>
    </row>
    <row r="53" spans="2:26" ht="18">
      <c r="B53" s="580" t="s">
        <v>583</v>
      </c>
      <c r="C53" s="581"/>
      <c r="D53" s="581"/>
      <c r="E53" s="581"/>
      <c r="F53" s="581"/>
      <c r="G53" s="582"/>
      <c r="H53" s="66"/>
      <c r="I53" s="217"/>
      <c r="J53" s="580" t="s">
        <v>583</v>
      </c>
      <c r="K53" s="589"/>
      <c r="L53" s="589"/>
      <c r="M53" s="589"/>
      <c r="N53" s="589"/>
      <c r="O53" s="212"/>
      <c r="P53" s="66"/>
      <c r="Q53" s="590" t="s">
        <v>564</v>
      </c>
      <c r="R53" s="591"/>
      <c r="S53" s="591"/>
      <c r="T53" s="592"/>
      <c r="U53" s="66"/>
      <c r="V53" s="66"/>
      <c r="W53" s="66"/>
      <c r="X53" s="66"/>
      <c r="Y53" s="66"/>
      <c r="Z53" s="66"/>
    </row>
    <row r="54" spans="2:26" ht="14.4">
      <c r="B54" s="85"/>
      <c r="C54" s="98">
        <v>2020</v>
      </c>
      <c r="D54" s="98">
        <v>2021</v>
      </c>
      <c r="E54" s="98">
        <v>2022</v>
      </c>
      <c r="F54" s="98">
        <v>2023</v>
      </c>
      <c r="G54" s="164">
        <v>2024</v>
      </c>
      <c r="H54" s="66"/>
      <c r="I54" s="217"/>
      <c r="J54" s="85"/>
      <c r="K54" s="98">
        <v>2020</v>
      </c>
      <c r="L54" s="98">
        <v>2021</v>
      </c>
      <c r="M54" s="98">
        <v>2022</v>
      </c>
      <c r="N54" s="98">
        <v>2023</v>
      </c>
      <c r="O54" s="164">
        <v>2024</v>
      </c>
      <c r="P54" s="66"/>
      <c r="Q54" s="99">
        <v>2022</v>
      </c>
      <c r="R54" s="98">
        <v>2023</v>
      </c>
      <c r="S54" s="98">
        <v>2024</v>
      </c>
      <c r="T54" s="216" t="s">
        <v>512</v>
      </c>
      <c r="U54" s="66"/>
      <c r="V54" s="66"/>
      <c r="W54" s="66"/>
      <c r="X54" s="66"/>
      <c r="Y54" s="66"/>
      <c r="Z54" s="66"/>
    </row>
    <row r="55" spans="2:26" ht="14.4">
      <c r="B55" s="85" t="s">
        <v>513</v>
      </c>
      <c r="C55" s="83"/>
      <c r="D55" s="83"/>
      <c r="E55" s="83"/>
      <c r="F55" s="83"/>
      <c r="G55" s="88"/>
      <c r="H55" s="66"/>
      <c r="I55" s="217"/>
      <c r="J55" s="85" t="s">
        <v>513</v>
      </c>
      <c r="K55" s="83"/>
      <c r="L55" s="83"/>
      <c r="M55" s="83"/>
      <c r="N55" s="83"/>
      <c r="O55" s="88"/>
      <c r="P55" s="66"/>
      <c r="Q55" s="85"/>
      <c r="R55" s="83"/>
      <c r="S55" s="83"/>
      <c r="T55" s="88"/>
      <c r="U55" s="66"/>
      <c r="V55" s="66"/>
      <c r="W55" s="66"/>
      <c r="X55" s="66"/>
      <c r="Y55" s="66"/>
      <c r="Z55" s="66"/>
    </row>
    <row r="56" spans="2:26" ht="14.4">
      <c r="B56" s="168" t="s">
        <v>565</v>
      </c>
      <c r="C56" s="89">
        <f t="shared" ref="C56:G61" si="34">C30</f>
        <v>10560719</v>
      </c>
      <c r="D56" s="89">
        <f t="shared" si="34"/>
        <v>9241787</v>
      </c>
      <c r="E56" s="89">
        <f t="shared" si="34"/>
        <v>12660706</v>
      </c>
      <c r="F56" s="89">
        <f t="shared" si="34"/>
        <v>14473142</v>
      </c>
      <c r="G56" s="92">
        <f t="shared" si="34"/>
        <v>14950204</v>
      </c>
      <c r="H56" s="66"/>
      <c r="I56" s="217"/>
      <c r="J56" s="168" t="s">
        <v>565</v>
      </c>
      <c r="K56" s="161">
        <f>C56/$C$56</f>
        <v>1</v>
      </c>
      <c r="L56" s="161">
        <f>D56/$D$56</f>
        <v>1</v>
      </c>
      <c r="M56" s="161">
        <f>E56/$E$56</f>
        <v>1</v>
      </c>
      <c r="N56" s="161">
        <f>F56/$F$56</f>
        <v>1</v>
      </c>
      <c r="O56" s="167">
        <f>G56/$G$56</f>
        <v>1</v>
      </c>
      <c r="P56" s="66"/>
      <c r="Q56" s="225">
        <f>(E56/D56)-1</f>
        <v>0.3699413327747112</v>
      </c>
      <c r="R56" s="161">
        <f t="shared" ref="R56:S56" si="35">(F56/E56)-1</f>
        <v>0.14315441808695351</v>
      </c>
      <c r="S56" s="161">
        <f t="shared" si="35"/>
        <v>3.2961882084760807E-2</v>
      </c>
      <c r="T56" s="167">
        <f t="shared" ref="T56:T73" si="36">((G56/D56)^(1/3))-1</f>
        <v>0.17389806827032039</v>
      </c>
      <c r="U56" s="66"/>
      <c r="V56" s="66"/>
      <c r="W56" s="66"/>
      <c r="X56" s="66"/>
      <c r="Y56" s="66"/>
      <c r="Z56" s="66"/>
    </row>
    <row r="57" spans="2:26" ht="14.4">
      <c r="B57" s="168" t="s">
        <v>566</v>
      </c>
      <c r="C57" s="89">
        <f t="shared" si="34"/>
        <v>-5324267</v>
      </c>
      <c r="D57" s="89">
        <f t="shared" si="34"/>
        <v>-4922052</v>
      </c>
      <c r="E57" s="89">
        <f t="shared" si="34"/>
        <v>-6273959</v>
      </c>
      <c r="F57" s="89">
        <f t="shared" si="34"/>
        <v>-7792575</v>
      </c>
      <c r="G57" s="92">
        <f t="shared" si="34"/>
        <v>-6960697</v>
      </c>
      <c r="H57" s="66"/>
      <c r="I57" s="217"/>
      <c r="J57" s="168" t="s">
        <v>566</v>
      </c>
      <c r="K57" s="161">
        <f t="shared" ref="K57:O57" si="37">C57/C$56</f>
        <v>-0.50415762411631249</v>
      </c>
      <c r="L57" s="161">
        <f t="shared" si="37"/>
        <v>-0.53258660906164579</v>
      </c>
      <c r="M57" s="161">
        <f t="shared" si="37"/>
        <v>-0.49554574602711726</v>
      </c>
      <c r="N57" s="161">
        <f t="shared" si="37"/>
        <v>-0.53841626096116513</v>
      </c>
      <c r="O57" s="167">
        <f t="shared" si="37"/>
        <v>-0.46559210830835485</v>
      </c>
      <c r="P57" s="66"/>
      <c r="Q57" s="225">
        <f t="shared" ref="Q57:Q77" si="38">(E57/D57)-1</f>
        <v>0.27466329083886154</v>
      </c>
      <c r="R57" s="161">
        <f t="shared" ref="R57:R77" si="39">(F57/E57)-1</f>
        <v>0.24205067326707108</v>
      </c>
      <c r="S57" s="161">
        <f t="shared" ref="S57:S77" si="40">(G57/F57)-1</f>
        <v>-0.10675264594822631</v>
      </c>
      <c r="T57" s="167">
        <f t="shared" si="36"/>
        <v>0.12245475457706156</v>
      </c>
      <c r="U57" s="66"/>
      <c r="V57" s="66"/>
      <c r="W57" s="66"/>
      <c r="X57" s="66"/>
      <c r="Y57" s="66"/>
      <c r="Z57" s="66"/>
    </row>
    <row r="58" spans="2:26" ht="14.4">
      <c r="B58" s="201" t="s">
        <v>567</v>
      </c>
      <c r="C58" s="90">
        <f t="shared" si="34"/>
        <v>5236452</v>
      </c>
      <c r="D58" s="90">
        <f t="shared" si="34"/>
        <v>4319735</v>
      </c>
      <c r="E58" s="90">
        <f t="shared" si="34"/>
        <v>6386747</v>
      </c>
      <c r="F58" s="90">
        <f t="shared" si="34"/>
        <v>6680567</v>
      </c>
      <c r="G58" s="94">
        <f t="shared" si="34"/>
        <v>7989507</v>
      </c>
      <c r="H58" s="66"/>
      <c r="I58" s="217"/>
      <c r="J58" s="201" t="s">
        <v>567</v>
      </c>
      <c r="K58" s="176">
        <f t="shared" ref="K58:O58" si="41">C58/C$56</f>
        <v>0.49584237588368746</v>
      </c>
      <c r="L58" s="176">
        <f t="shared" si="41"/>
        <v>0.46741339093835421</v>
      </c>
      <c r="M58" s="176">
        <f t="shared" si="41"/>
        <v>0.50445425397288268</v>
      </c>
      <c r="N58" s="176">
        <f t="shared" si="41"/>
        <v>0.46158373903883482</v>
      </c>
      <c r="O58" s="178">
        <f t="shared" si="41"/>
        <v>0.53440789169164515</v>
      </c>
      <c r="P58" s="66"/>
      <c r="Q58" s="226">
        <f t="shared" si="38"/>
        <v>0.47850435269756142</v>
      </c>
      <c r="R58" s="176">
        <f t="shared" si="39"/>
        <v>4.6004640547057774E-2</v>
      </c>
      <c r="S58" s="176">
        <f t="shared" si="40"/>
        <v>0.19593247100133859</v>
      </c>
      <c r="T58" s="178">
        <f t="shared" si="36"/>
        <v>0.22749846804223273</v>
      </c>
      <c r="U58" s="66"/>
      <c r="V58" s="66"/>
      <c r="W58" s="66"/>
      <c r="X58" s="66"/>
      <c r="Y58" s="66"/>
      <c r="Z58" s="66"/>
    </row>
    <row r="59" spans="2:26" ht="14.4">
      <c r="B59" s="165" t="s">
        <v>568</v>
      </c>
      <c r="C59" s="89">
        <f t="shared" si="34"/>
        <v>-393099</v>
      </c>
      <c r="D59" s="89">
        <f t="shared" si="34"/>
        <v>-342652</v>
      </c>
      <c r="E59" s="89">
        <f t="shared" si="34"/>
        <v>-584234</v>
      </c>
      <c r="F59" s="89">
        <f t="shared" si="34"/>
        <v>-352969</v>
      </c>
      <c r="G59" s="92">
        <f t="shared" si="34"/>
        <v>-406658</v>
      </c>
      <c r="H59" s="66"/>
      <c r="I59" s="217"/>
      <c r="J59" s="165" t="s">
        <v>568</v>
      </c>
      <c r="K59" s="161">
        <f t="shared" ref="K59:O59" si="42">C59/C$56</f>
        <v>-3.7222749701038345E-2</v>
      </c>
      <c r="L59" s="161">
        <f t="shared" si="42"/>
        <v>-3.7076379275999327E-2</v>
      </c>
      <c r="M59" s="161">
        <f t="shared" si="42"/>
        <v>-4.6145451920295753E-2</v>
      </c>
      <c r="N59" s="161">
        <f t="shared" si="42"/>
        <v>-2.4387862704587572E-2</v>
      </c>
      <c r="O59" s="167">
        <f t="shared" si="42"/>
        <v>-2.720083284482272E-2</v>
      </c>
      <c r="P59" s="66"/>
      <c r="Q59" s="225">
        <f t="shared" si="38"/>
        <v>0.70503601321457343</v>
      </c>
      <c r="R59" s="161">
        <f t="shared" si="39"/>
        <v>-0.39584310396176869</v>
      </c>
      <c r="S59" s="161">
        <f t="shared" si="40"/>
        <v>0.15210684224393645</v>
      </c>
      <c r="T59" s="167">
        <f t="shared" si="36"/>
        <v>5.8746570195426395E-2</v>
      </c>
      <c r="U59" s="66"/>
      <c r="V59" s="66"/>
      <c r="W59" s="66"/>
      <c r="X59" s="66"/>
      <c r="Y59" s="66"/>
      <c r="Z59" s="66"/>
    </row>
    <row r="60" spans="2:26" ht="14.4">
      <c r="B60" s="168" t="str">
        <f>B39</f>
        <v>Financial Income</v>
      </c>
      <c r="C60" s="89">
        <f t="shared" si="34"/>
        <v>-393099</v>
      </c>
      <c r="D60" s="89">
        <f t="shared" si="34"/>
        <v>-342652</v>
      </c>
      <c r="E60" s="89">
        <f t="shared" si="34"/>
        <v>-584234</v>
      </c>
      <c r="F60" s="89">
        <f t="shared" si="34"/>
        <v>-352969</v>
      </c>
      <c r="G60" s="92">
        <f t="shared" si="34"/>
        <v>-406658</v>
      </c>
      <c r="H60" s="66"/>
      <c r="I60" s="217"/>
      <c r="J60" s="168" t="str">
        <f>J39</f>
        <v>Financial Income</v>
      </c>
      <c r="K60" s="161">
        <f t="shared" ref="K60:O60" si="43">C60/C$56</f>
        <v>-3.7222749701038345E-2</v>
      </c>
      <c r="L60" s="161">
        <f t="shared" si="43"/>
        <v>-3.7076379275999327E-2</v>
      </c>
      <c r="M60" s="161">
        <f t="shared" si="43"/>
        <v>-4.6145451920295753E-2</v>
      </c>
      <c r="N60" s="161">
        <f t="shared" si="43"/>
        <v>-2.4387862704587572E-2</v>
      </c>
      <c r="O60" s="167">
        <f t="shared" si="43"/>
        <v>-2.720083284482272E-2</v>
      </c>
      <c r="P60" s="66"/>
      <c r="Q60" s="225">
        <f t="shared" si="38"/>
        <v>0.70503601321457343</v>
      </c>
      <c r="R60" s="161">
        <f t="shared" si="39"/>
        <v>-0.39584310396176869</v>
      </c>
      <c r="S60" s="161">
        <f t="shared" si="40"/>
        <v>0.15210684224393645</v>
      </c>
      <c r="T60" s="167">
        <f t="shared" si="36"/>
        <v>5.8746570195426395E-2</v>
      </c>
      <c r="U60" s="66"/>
      <c r="V60" s="66"/>
      <c r="W60" s="66"/>
      <c r="X60" s="66"/>
      <c r="Y60" s="66"/>
      <c r="Z60" s="66"/>
    </row>
    <row r="61" spans="2:26" ht="14.4">
      <c r="B61" s="201" t="s">
        <v>569</v>
      </c>
      <c r="C61" s="90">
        <f t="shared" si="34"/>
        <v>4843353</v>
      </c>
      <c r="D61" s="90">
        <f t="shared" si="34"/>
        <v>3977083</v>
      </c>
      <c r="E61" s="90">
        <f t="shared" si="34"/>
        <v>5802513</v>
      </c>
      <c r="F61" s="90">
        <f t="shared" si="34"/>
        <v>6327598</v>
      </c>
      <c r="G61" s="94">
        <f t="shared" si="34"/>
        <v>7582849</v>
      </c>
      <c r="H61" s="66"/>
      <c r="I61" s="217"/>
      <c r="J61" s="201" t="s">
        <v>569</v>
      </c>
      <c r="K61" s="176">
        <f t="shared" ref="K61:O61" si="44">C61/C$56</f>
        <v>0.45861962618264912</v>
      </c>
      <c r="L61" s="176">
        <f t="shared" si="44"/>
        <v>0.43033701166235488</v>
      </c>
      <c r="M61" s="176">
        <f t="shared" si="44"/>
        <v>0.45830880205258695</v>
      </c>
      <c r="N61" s="176">
        <f t="shared" si="44"/>
        <v>0.43719587633424728</v>
      </c>
      <c r="O61" s="178">
        <f t="shared" si="44"/>
        <v>0.50720705884682238</v>
      </c>
      <c r="P61" s="66"/>
      <c r="Q61" s="226">
        <f t="shared" si="38"/>
        <v>0.45898715214140617</v>
      </c>
      <c r="R61" s="176">
        <f t="shared" si="39"/>
        <v>9.0492688254209863E-2</v>
      </c>
      <c r="S61" s="176">
        <f t="shared" si="40"/>
        <v>0.19837717250685016</v>
      </c>
      <c r="T61" s="178">
        <f t="shared" si="36"/>
        <v>0.24000256750375271</v>
      </c>
      <c r="U61" s="66"/>
      <c r="V61" s="66"/>
      <c r="W61" s="66"/>
      <c r="X61" s="66"/>
      <c r="Y61" s="66"/>
      <c r="Z61" s="66"/>
    </row>
    <row r="62" spans="2:26" ht="14.4">
      <c r="B62" s="204" t="s">
        <v>584</v>
      </c>
      <c r="C62" s="89">
        <f>C44</f>
        <v>-8512</v>
      </c>
      <c r="D62" s="89">
        <f>D44</f>
        <v>-75423</v>
      </c>
      <c r="E62" s="89">
        <f>E44</f>
        <v>-201773</v>
      </c>
      <c r="F62" s="89">
        <f>F44</f>
        <v>-239221</v>
      </c>
      <c r="G62" s="92">
        <f>G44</f>
        <v>-126060</v>
      </c>
      <c r="H62" s="66"/>
      <c r="I62" s="217"/>
      <c r="J62" s="204" t="s">
        <v>584</v>
      </c>
      <c r="K62" s="161">
        <f t="shared" ref="K62:O62" si="45">C62/C$56</f>
        <v>-8.060057274509435E-4</v>
      </c>
      <c r="L62" s="161">
        <f t="shared" si="45"/>
        <v>-8.1610839981488426E-3</v>
      </c>
      <c r="M62" s="161">
        <f t="shared" si="45"/>
        <v>-1.5936946960145824E-2</v>
      </c>
      <c r="N62" s="161">
        <f t="shared" si="45"/>
        <v>-1.6528615555627107E-2</v>
      </c>
      <c r="O62" s="167">
        <f t="shared" si="45"/>
        <v>-8.431991964791918E-3</v>
      </c>
      <c r="P62" s="66"/>
      <c r="Q62" s="225">
        <f t="shared" si="38"/>
        <v>1.6752184346949868</v>
      </c>
      <c r="R62" s="161">
        <f t="shared" si="39"/>
        <v>0.18559470295827496</v>
      </c>
      <c r="S62" s="161">
        <f t="shared" si="40"/>
        <v>-0.47303957428486632</v>
      </c>
      <c r="T62" s="167">
        <f t="shared" si="36"/>
        <v>0.18674615511446291</v>
      </c>
      <c r="U62" s="66"/>
      <c r="V62" s="66"/>
      <c r="W62" s="66"/>
      <c r="X62" s="66"/>
      <c r="Y62" s="66"/>
      <c r="Z62" s="66"/>
    </row>
    <row r="63" spans="2:26" ht="14.4">
      <c r="B63" s="204" t="s">
        <v>585</v>
      </c>
      <c r="C63" s="89">
        <f>C36*D102</f>
        <v>0</v>
      </c>
      <c r="D63" s="89">
        <f>D36*E102</f>
        <v>-680525.06830048421</v>
      </c>
      <c r="E63" s="89">
        <f>E36*E103</f>
        <v>-1385454.5844439692</v>
      </c>
      <c r="F63" s="89">
        <f>F36*E104</f>
        <v>-1194188.6438950354</v>
      </c>
      <c r="G63" s="92">
        <f>G36*E105</f>
        <v>-1022635.4970069481</v>
      </c>
      <c r="H63" s="66"/>
      <c r="I63" s="217"/>
      <c r="J63" s="204" t="s">
        <v>585</v>
      </c>
      <c r="K63" s="161">
        <f t="shared" ref="K63:O63" si="46">C63/C$56</f>
        <v>0</v>
      </c>
      <c r="L63" s="161">
        <f t="shared" si="46"/>
        <v>-7.363565815793896E-2</v>
      </c>
      <c r="M63" s="161">
        <f t="shared" si="46"/>
        <v>-0.10942948872234844</v>
      </c>
      <c r="N63" s="161">
        <f t="shared" si="46"/>
        <v>-8.2510670032466718E-2</v>
      </c>
      <c r="O63" s="167">
        <f t="shared" si="46"/>
        <v>-6.8402778785289359E-2</v>
      </c>
      <c r="P63" s="66"/>
      <c r="Q63" s="225">
        <f t="shared" si="38"/>
        <v>1.0358612033263483</v>
      </c>
      <c r="R63" s="161">
        <f t="shared" si="39"/>
        <v>-0.13805284034315379</v>
      </c>
      <c r="S63" s="161">
        <f t="shared" si="40"/>
        <v>-0.1436566557261334</v>
      </c>
      <c r="T63" s="167">
        <f t="shared" si="36"/>
        <v>0.14540457097253401</v>
      </c>
      <c r="U63" s="66"/>
      <c r="V63" s="66"/>
      <c r="W63" s="66"/>
      <c r="X63" s="66"/>
      <c r="Y63" s="66"/>
      <c r="Z63" s="66"/>
    </row>
    <row r="64" spans="2:26" ht="14.4">
      <c r="B64" s="204" t="s">
        <v>586</v>
      </c>
      <c r="C64" s="89">
        <f>C38*D102</f>
        <v>0</v>
      </c>
      <c r="D64" s="89">
        <f>D38*E102</f>
        <v>-33070.434089217277</v>
      </c>
      <c r="E64" s="89">
        <f>E38*E103</f>
        <v>-48912.077661368872</v>
      </c>
      <c r="F64" s="89">
        <f>F38*E104</f>
        <v>-56445.50502509348</v>
      </c>
      <c r="G64" s="92">
        <f>G38*E105</f>
        <v>-48642.941370252862</v>
      </c>
      <c r="H64" s="66"/>
      <c r="I64" s="217"/>
      <c r="J64" s="204" t="s">
        <v>586</v>
      </c>
      <c r="K64" s="161">
        <f t="shared" ref="K64:O64" si="47">C64/C$56</f>
        <v>0</v>
      </c>
      <c r="L64" s="161">
        <f t="shared" si="47"/>
        <v>-3.5783592598722818E-3</v>
      </c>
      <c r="M64" s="161">
        <f t="shared" si="47"/>
        <v>-3.8632978019842554E-3</v>
      </c>
      <c r="N64" s="161">
        <f t="shared" si="47"/>
        <v>-3.9000173580203581E-3</v>
      </c>
      <c r="O64" s="167">
        <f t="shared" si="47"/>
        <v>-3.2536640550358282E-3</v>
      </c>
      <c r="P64" s="66"/>
      <c r="Q64" s="225">
        <f t="shared" si="38"/>
        <v>0.47902738528965405</v>
      </c>
      <c r="R64" s="161">
        <f t="shared" si="39"/>
        <v>0.15401977842528991</v>
      </c>
      <c r="S64" s="161">
        <f t="shared" si="40"/>
        <v>-0.13823179810990971</v>
      </c>
      <c r="T64" s="167">
        <f t="shared" si="36"/>
        <v>0.13726055842716045</v>
      </c>
      <c r="U64" s="66"/>
      <c r="V64" s="66"/>
      <c r="W64" s="66"/>
      <c r="X64" s="66"/>
      <c r="Y64" s="66"/>
      <c r="Z64" s="66"/>
    </row>
    <row r="65" spans="2:26" ht="14.4">
      <c r="B65" s="207" t="s">
        <v>587</v>
      </c>
      <c r="C65" s="89">
        <f t="shared" ref="C65:G65" si="48">SUM(C62:C64)</f>
        <v>-8512</v>
      </c>
      <c r="D65" s="89">
        <f t="shared" si="48"/>
        <v>-789018.50238970155</v>
      </c>
      <c r="E65" s="89">
        <f t="shared" si="48"/>
        <v>-1636139.6621053379</v>
      </c>
      <c r="F65" s="89">
        <f t="shared" si="48"/>
        <v>-1489855.1489201288</v>
      </c>
      <c r="G65" s="92">
        <f t="shared" si="48"/>
        <v>-1197338.4383772009</v>
      </c>
      <c r="H65" s="66"/>
      <c r="I65" s="217"/>
      <c r="J65" s="207" t="s">
        <v>587</v>
      </c>
      <c r="K65" s="161">
        <f t="shared" ref="K65:O65" si="49">C65/C$56</f>
        <v>-8.060057274509435E-4</v>
      </c>
      <c r="L65" s="161">
        <f t="shared" si="49"/>
        <v>-8.5375101415960095E-2</v>
      </c>
      <c r="M65" s="161">
        <f t="shared" si="49"/>
        <v>-0.1292297334844785</v>
      </c>
      <c r="N65" s="161">
        <f t="shared" si="49"/>
        <v>-0.10293930294611417</v>
      </c>
      <c r="O65" s="167">
        <f t="shared" si="49"/>
        <v>-8.0088434805117098E-2</v>
      </c>
      <c r="P65" s="66"/>
      <c r="Q65" s="225">
        <f t="shared" si="38"/>
        <v>1.0736391569398682</v>
      </c>
      <c r="R65" s="161">
        <f t="shared" si="39"/>
        <v>-8.9408328991288144E-2</v>
      </c>
      <c r="S65" s="161">
        <f t="shared" si="40"/>
        <v>-0.19633902715639762</v>
      </c>
      <c r="T65" s="167">
        <f t="shared" si="36"/>
        <v>0.14914962364389184</v>
      </c>
      <c r="U65" s="66"/>
      <c r="V65" s="66"/>
      <c r="W65" s="66"/>
      <c r="X65" s="66"/>
      <c r="Y65" s="66"/>
      <c r="Z65" s="66"/>
    </row>
    <row r="66" spans="2:26" ht="14.4">
      <c r="B66" s="201" t="s">
        <v>588</v>
      </c>
      <c r="C66" s="90">
        <f t="shared" ref="C66:G66" si="50">C61+C65</f>
        <v>4834841</v>
      </c>
      <c r="D66" s="90">
        <f t="shared" si="50"/>
        <v>3188064.4976102985</v>
      </c>
      <c r="E66" s="90">
        <f t="shared" si="50"/>
        <v>4166373.3378946623</v>
      </c>
      <c r="F66" s="90">
        <f t="shared" si="50"/>
        <v>4837742.8510798709</v>
      </c>
      <c r="G66" s="94">
        <f t="shared" si="50"/>
        <v>6385510.5616227994</v>
      </c>
      <c r="H66" s="66"/>
      <c r="I66" s="217"/>
      <c r="J66" s="201" t="s">
        <v>588</v>
      </c>
      <c r="K66" s="176">
        <f t="shared" ref="K66:O66" si="51">C66/C$56</f>
        <v>0.45781362045519819</v>
      </c>
      <c r="L66" s="176">
        <f t="shared" si="51"/>
        <v>0.34496191024639483</v>
      </c>
      <c r="M66" s="176">
        <f t="shared" si="51"/>
        <v>0.32907906856810848</v>
      </c>
      <c r="N66" s="176">
        <f t="shared" si="51"/>
        <v>0.33425657338813308</v>
      </c>
      <c r="O66" s="178">
        <f t="shared" si="51"/>
        <v>0.42711862404170536</v>
      </c>
      <c r="P66" s="66"/>
      <c r="Q66" s="226">
        <f t="shared" si="38"/>
        <v>0.30686607533118671</v>
      </c>
      <c r="R66" s="176">
        <f t="shared" si="39"/>
        <v>0.1611400272459651</v>
      </c>
      <c r="S66" s="176">
        <f t="shared" si="40"/>
        <v>0.3199359201569465</v>
      </c>
      <c r="T66" s="178">
        <f t="shared" si="36"/>
        <v>0.26053867858298974</v>
      </c>
      <c r="U66" s="66"/>
      <c r="V66" s="66"/>
      <c r="W66" s="66"/>
      <c r="X66" s="66"/>
      <c r="Y66" s="66"/>
      <c r="Z66" s="66"/>
    </row>
    <row r="67" spans="2:26" ht="14.4">
      <c r="B67" s="168" t="s">
        <v>589</v>
      </c>
      <c r="C67" s="89">
        <f>C36</f>
        <v>-4534698</v>
      </c>
      <c r="D67" s="89">
        <f>D36</f>
        <v>-3430217</v>
      </c>
      <c r="E67" s="89">
        <f>E36</f>
        <v>-4913467</v>
      </c>
      <c r="F67" s="89">
        <f>F36</f>
        <v>-5071866</v>
      </c>
      <c r="G67" s="92">
        <f>G36</f>
        <v>-6476440</v>
      </c>
      <c r="H67" s="66"/>
      <c r="I67" s="217"/>
      <c r="J67" s="204" t="s">
        <v>589</v>
      </c>
      <c r="K67" s="161">
        <f t="shared" ref="K67:O67" si="52">C67/C$56</f>
        <v>-0.4293929229629157</v>
      </c>
      <c r="L67" s="161">
        <f t="shared" si="52"/>
        <v>-0.37116382361982592</v>
      </c>
      <c r="M67" s="161">
        <f t="shared" si="52"/>
        <v>-0.38808791547643551</v>
      </c>
      <c r="N67" s="161">
        <f t="shared" si="52"/>
        <v>-0.35043296058312701</v>
      </c>
      <c r="O67" s="167">
        <f t="shared" si="52"/>
        <v>-0.43320077772851795</v>
      </c>
      <c r="P67" s="66"/>
      <c r="Q67" s="225">
        <f t="shared" si="38"/>
        <v>0.43240704596822876</v>
      </c>
      <c r="R67" s="161">
        <f t="shared" si="39"/>
        <v>3.2237725418731822E-2</v>
      </c>
      <c r="S67" s="161">
        <f t="shared" si="40"/>
        <v>0.2769343669568558</v>
      </c>
      <c r="T67" s="167">
        <f t="shared" si="36"/>
        <v>0.23596142714015489</v>
      </c>
      <c r="U67" s="66"/>
      <c r="V67" s="66"/>
      <c r="W67" s="66"/>
      <c r="X67" s="66"/>
      <c r="Y67" s="66"/>
      <c r="Z67" s="66"/>
    </row>
    <row r="68" spans="2:26" ht="14.4">
      <c r="B68" s="168" t="s">
        <v>590</v>
      </c>
      <c r="C68" s="89">
        <f t="shared" ref="C68:G68" si="53">ABS(C63)</f>
        <v>0</v>
      </c>
      <c r="D68" s="89">
        <f t="shared" si="53"/>
        <v>680525.06830048421</v>
      </c>
      <c r="E68" s="89">
        <f t="shared" si="53"/>
        <v>1385454.5844439692</v>
      </c>
      <c r="F68" s="89">
        <f t="shared" si="53"/>
        <v>1194188.6438950354</v>
      </c>
      <c r="G68" s="92">
        <f t="shared" si="53"/>
        <v>1022635.4970069481</v>
      </c>
      <c r="H68" s="66"/>
      <c r="I68" s="217"/>
      <c r="J68" s="168" t="s">
        <v>590</v>
      </c>
      <c r="K68" s="161">
        <f t="shared" ref="K68:O68" si="54">C68/C$56</f>
        <v>0</v>
      </c>
      <c r="L68" s="161">
        <f t="shared" si="54"/>
        <v>7.363565815793896E-2</v>
      </c>
      <c r="M68" s="161">
        <f t="shared" si="54"/>
        <v>0.10942948872234844</v>
      </c>
      <c r="N68" s="161">
        <f t="shared" si="54"/>
        <v>8.2510670032466718E-2</v>
      </c>
      <c r="O68" s="167">
        <f t="shared" si="54"/>
        <v>6.8402778785289359E-2</v>
      </c>
      <c r="P68" s="66"/>
      <c r="Q68" s="225">
        <f t="shared" si="38"/>
        <v>1.0358612033263483</v>
      </c>
      <c r="R68" s="161">
        <f t="shared" si="39"/>
        <v>-0.13805284034315379</v>
      </c>
      <c r="S68" s="161">
        <f t="shared" si="40"/>
        <v>-0.1436566557261334</v>
      </c>
      <c r="T68" s="167">
        <f t="shared" si="36"/>
        <v>0.14540457097253401</v>
      </c>
      <c r="U68" s="66"/>
      <c r="V68" s="66"/>
      <c r="W68" s="66"/>
      <c r="X68" s="66"/>
      <c r="Y68" s="66"/>
      <c r="Z68" s="66"/>
    </row>
    <row r="69" spans="2:26" ht="14.4">
      <c r="B69" s="201" t="s">
        <v>591</v>
      </c>
      <c r="C69" s="90">
        <f t="shared" ref="C69:G69" si="55">SUM(C66:C68)</f>
        <v>300143</v>
      </c>
      <c r="D69" s="90">
        <f t="shared" si="55"/>
        <v>438372.56591078267</v>
      </c>
      <c r="E69" s="90">
        <f t="shared" si="55"/>
        <v>638360.92233863147</v>
      </c>
      <c r="F69" s="90">
        <f t="shared" si="55"/>
        <v>960065.49497490632</v>
      </c>
      <c r="G69" s="94">
        <f t="shared" si="55"/>
        <v>931706.05862974748</v>
      </c>
      <c r="H69" s="66"/>
      <c r="I69" s="217"/>
      <c r="J69" s="201" t="s">
        <v>591</v>
      </c>
      <c r="K69" s="176">
        <f t="shared" ref="K69:O69" si="56">C69/C$56</f>
        <v>2.8420697492282487E-2</v>
      </c>
      <c r="L69" s="176">
        <f t="shared" si="56"/>
        <v>4.7433744784507875E-2</v>
      </c>
      <c r="M69" s="176">
        <f t="shared" si="56"/>
        <v>5.0420641814021387E-2</v>
      </c>
      <c r="N69" s="176">
        <f t="shared" si="56"/>
        <v>6.6334282837472766E-2</v>
      </c>
      <c r="O69" s="178">
        <f t="shared" si="56"/>
        <v>6.2320625098476745E-2</v>
      </c>
      <c r="P69" s="66"/>
      <c r="Q69" s="226">
        <f t="shared" si="38"/>
        <v>0.45620636869085085</v>
      </c>
      <c r="R69" s="176">
        <f t="shared" si="39"/>
        <v>0.50395405072370658</v>
      </c>
      <c r="S69" s="176">
        <f t="shared" si="40"/>
        <v>-2.9539064255090342E-2</v>
      </c>
      <c r="T69" s="178">
        <f t="shared" si="36"/>
        <v>0.28571640133483789</v>
      </c>
      <c r="U69" s="66"/>
      <c r="V69" s="66"/>
      <c r="W69" s="66"/>
      <c r="X69" s="66"/>
      <c r="Y69" s="66"/>
      <c r="Z69" s="66"/>
    </row>
    <row r="70" spans="2:26" ht="14.4">
      <c r="B70" s="165" t="s">
        <v>592</v>
      </c>
      <c r="C70" s="89">
        <f t="shared" ref="C70:G73" si="57">C38</f>
        <v>-280439</v>
      </c>
      <c r="D70" s="89">
        <f t="shared" si="57"/>
        <v>-166693</v>
      </c>
      <c r="E70" s="89">
        <f t="shared" si="57"/>
        <v>-173465</v>
      </c>
      <c r="F70" s="89">
        <f t="shared" si="57"/>
        <v>-239731</v>
      </c>
      <c r="G70" s="92">
        <f t="shared" si="57"/>
        <v>-308060</v>
      </c>
      <c r="H70" s="66"/>
      <c r="I70" s="217"/>
      <c r="J70" s="207" t="s">
        <v>592</v>
      </c>
      <c r="K70" s="161">
        <f t="shared" ref="K70:O70" si="58">C70/C$56</f>
        <v>-2.6554915437102342E-2</v>
      </c>
      <c r="L70" s="161">
        <f t="shared" si="58"/>
        <v>-1.8036879664073625E-2</v>
      </c>
      <c r="M70" s="161">
        <f t="shared" si="58"/>
        <v>-1.3701052690110646E-2</v>
      </c>
      <c r="N70" s="161">
        <f t="shared" si="58"/>
        <v>-1.6563853239331169E-2</v>
      </c>
      <c r="O70" s="167">
        <f t="shared" si="58"/>
        <v>-2.0605738891589707E-2</v>
      </c>
      <c r="P70" s="66"/>
      <c r="Q70" s="225">
        <f t="shared" si="38"/>
        <v>4.0625581158177049E-2</v>
      </c>
      <c r="R70" s="161">
        <f t="shared" si="39"/>
        <v>0.3820136626985271</v>
      </c>
      <c r="S70" s="161">
        <f t="shared" si="40"/>
        <v>0.28502363065268987</v>
      </c>
      <c r="T70" s="167">
        <f t="shared" si="36"/>
        <v>0.22717354063846162</v>
      </c>
      <c r="U70" s="66"/>
      <c r="V70" s="66"/>
      <c r="W70" s="66"/>
      <c r="X70" s="66"/>
      <c r="Y70" s="66"/>
      <c r="Z70" s="66"/>
    </row>
    <row r="71" spans="2:26" ht="14.4">
      <c r="B71" s="204" t="s">
        <v>572</v>
      </c>
      <c r="C71" s="89">
        <f t="shared" si="57"/>
        <v>584</v>
      </c>
      <c r="D71" s="89">
        <f t="shared" si="57"/>
        <v>291</v>
      </c>
      <c r="E71" s="89">
        <f t="shared" si="57"/>
        <v>258</v>
      </c>
      <c r="F71" s="89">
        <f t="shared" si="57"/>
        <v>333</v>
      </c>
      <c r="G71" s="92">
        <f t="shared" si="57"/>
        <v>74265</v>
      </c>
      <c r="H71" s="66"/>
      <c r="I71" s="217"/>
      <c r="J71" s="204" t="s">
        <v>572</v>
      </c>
      <c r="K71" s="161">
        <f t="shared" ref="K71:O71" si="59">C71/C$56</f>
        <v>5.52992651352621E-5</v>
      </c>
      <c r="L71" s="161">
        <f t="shared" si="59"/>
        <v>3.1487416881605258E-5</v>
      </c>
      <c r="M71" s="161">
        <f t="shared" si="59"/>
        <v>2.0378010515369364E-5</v>
      </c>
      <c r="N71" s="161">
        <f t="shared" si="59"/>
        <v>2.3008134653829832E-5</v>
      </c>
      <c r="O71" s="167">
        <f t="shared" si="59"/>
        <v>4.9674907446078994E-3</v>
      </c>
      <c r="P71" s="66"/>
      <c r="Q71" s="225">
        <f t="shared" si="38"/>
        <v>-0.11340206185567014</v>
      </c>
      <c r="R71" s="161">
        <f t="shared" si="39"/>
        <v>0.29069767441860472</v>
      </c>
      <c r="S71" s="161">
        <f t="shared" si="40"/>
        <v>222.01801801801801</v>
      </c>
      <c r="T71" s="167">
        <f t="shared" si="36"/>
        <v>5.3430343819797512</v>
      </c>
      <c r="U71" s="66"/>
      <c r="V71" s="66"/>
      <c r="W71" s="66"/>
      <c r="X71" s="66"/>
      <c r="Y71" s="66"/>
      <c r="Z71" s="66"/>
    </row>
    <row r="72" spans="2:26" ht="14.4">
      <c r="B72" s="204" t="s">
        <v>573</v>
      </c>
      <c r="C72" s="89">
        <f t="shared" si="57"/>
        <v>-191809</v>
      </c>
      <c r="D72" s="89">
        <f t="shared" si="57"/>
        <v>-166922</v>
      </c>
      <c r="E72" s="89">
        <f t="shared" si="57"/>
        <v>-173690</v>
      </c>
      <c r="F72" s="89">
        <f t="shared" si="57"/>
        <v>-240050</v>
      </c>
      <c r="G72" s="92">
        <f t="shared" si="57"/>
        <v>-382279</v>
      </c>
      <c r="H72" s="66"/>
      <c r="I72" s="217"/>
      <c r="J72" s="204" t="s">
        <v>573</v>
      </c>
      <c r="K72" s="161">
        <f t="shared" ref="K72:O72" si="60">C72/C$56</f>
        <v>-1.8162494428646384E-2</v>
      </c>
      <c r="L72" s="161">
        <f t="shared" si="60"/>
        <v>-1.8061658421688359E-2</v>
      </c>
      <c r="M72" s="161">
        <f t="shared" si="60"/>
        <v>-1.3718824210908934E-2</v>
      </c>
      <c r="N72" s="161">
        <f t="shared" si="60"/>
        <v>-1.6585894065020573E-2</v>
      </c>
      <c r="O72" s="167">
        <f t="shared" si="60"/>
        <v>-2.5570152755106219E-2</v>
      </c>
      <c r="P72" s="66"/>
      <c r="Q72" s="225">
        <f t="shared" si="38"/>
        <v>4.0545883706162078E-2</v>
      </c>
      <c r="R72" s="161">
        <f t="shared" si="39"/>
        <v>0.38205999193966256</v>
      </c>
      <c r="S72" s="161">
        <f t="shared" si="40"/>
        <v>0.59249739637575516</v>
      </c>
      <c r="T72" s="167">
        <f t="shared" si="36"/>
        <v>0.3181220361197219</v>
      </c>
      <c r="U72" s="66"/>
      <c r="V72" s="66"/>
      <c r="W72" s="66"/>
      <c r="X72" s="66"/>
      <c r="Y72" s="66"/>
      <c r="Z72" s="66"/>
    </row>
    <row r="73" spans="2:26" ht="14.4">
      <c r="B73" s="205" t="str">
        <f>B41</f>
        <v>Other non-operating and financial income (expenses)</v>
      </c>
      <c r="C73" s="89">
        <f t="shared" si="57"/>
        <v>-119</v>
      </c>
      <c r="D73" s="89">
        <f t="shared" si="57"/>
        <v>-62</v>
      </c>
      <c r="E73" s="89">
        <f t="shared" si="57"/>
        <v>-33</v>
      </c>
      <c r="F73" s="89">
        <f t="shared" si="57"/>
        <v>-14</v>
      </c>
      <c r="G73" s="92">
        <f t="shared" si="57"/>
        <v>-46</v>
      </c>
      <c r="H73" s="66"/>
      <c r="I73" s="217"/>
      <c r="J73" s="218" t="s">
        <v>593</v>
      </c>
      <c r="K73" s="161">
        <f t="shared" ref="K73:O73" si="61">C73/C$56</f>
        <v>-1.1268172176534572E-5</v>
      </c>
      <c r="L73" s="161">
        <f t="shared" si="61"/>
        <v>-6.7086592668712234E-6</v>
      </c>
      <c r="M73" s="161">
        <f t="shared" si="61"/>
        <v>-2.6064897170821281E-6</v>
      </c>
      <c r="N73" s="161">
        <f t="shared" si="61"/>
        <v>-9.6730896442527825E-7</v>
      </c>
      <c r="O73" s="167">
        <f t="shared" si="61"/>
        <v>-3.0768810913884521E-6</v>
      </c>
      <c r="P73" s="66"/>
      <c r="Q73" s="225">
        <f t="shared" si="38"/>
        <v>-0.467741935483871</v>
      </c>
      <c r="R73" s="161">
        <f t="shared" si="39"/>
        <v>-0.57575757575757569</v>
      </c>
      <c r="S73" s="161">
        <f t="shared" si="40"/>
        <v>2.2857142857142856</v>
      </c>
      <c r="T73" s="167">
        <f t="shared" si="36"/>
        <v>-9.470793433242275E-2</v>
      </c>
      <c r="U73" s="66"/>
      <c r="V73" s="66"/>
      <c r="W73" s="66"/>
      <c r="X73" s="66"/>
      <c r="Y73" s="66"/>
      <c r="Z73" s="66"/>
    </row>
    <row r="74" spans="2:26" ht="14.4">
      <c r="B74" s="204" t="s">
        <v>575</v>
      </c>
      <c r="C74" s="89">
        <f>'Income statement'!B59</f>
        <v>-89095</v>
      </c>
      <c r="D74" s="89">
        <v>0</v>
      </c>
      <c r="E74" s="89">
        <v>0</v>
      </c>
      <c r="F74" s="89">
        <v>0</v>
      </c>
      <c r="G74" s="92">
        <v>0</v>
      </c>
      <c r="H74" s="66"/>
      <c r="I74" s="217"/>
      <c r="J74" s="91" t="s">
        <v>575</v>
      </c>
      <c r="K74" s="161">
        <f t="shared" ref="K74:O74" si="62">C74/C$56</f>
        <v>-8.4364521014146862E-3</v>
      </c>
      <c r="L74" s="161">
        <f t="shared" si="62"/>
        <v>0</v>
      </c>
      <c r="M74" s="161">
        <f t="shared" si="62"/>
        <v>0</v>
      </c>
      <c r="N74" s="161">
        <f t="shared" si="62"/>
        <v>0</v>
      </c>
      <c r="O74" s="167">
        <f t="shared" si="62"/>
        <v>0</v>
      </c>
      <c r="P74" s="66"/>
      <c r="Q74" s="225">
        <v>0</v>
      </c>
      <c r="R74" s="161">
        <v>0</v>
      </c>
      <c r="S74" s="161">
        <v>0</v>
      </c>
      <c r="T74" s="167">
        <v>0</v>
      </c>
      <c r="U74" s="66"/>
      <c r="V74" s="66"/>
      <c r="W74" s="66"/>
      <c r="X74" s="66"/>
      <c r="Y74" s="66"/>
      <c r="Z74" s="66"/>
    </row>
    <row r="75" spans="2:26" ht="14.4">
      <c r="B75" s="208" t="s">
        <v>586</v>
      </c>
      <c r="C75" s="89">
        <f t="shared" ref="C75:G75" si="63">ABS(C64)</f>
        <v>0</v>
      </c>
      <c r="D75" s="89">
        <f t="shared" si="63"/>
        <v>33070.434089217277</v>
      </c>
      <c r="E75" s="89">
        <f t="shared" si="63"/>
        <v>48912.077661368872</v>
      </c>
      <c r="F75" s="89">
        <f t="shared" si="63"/>
        <v>56445.50502509348</v>
      </c>
      <c r="G75" s="92">
        <f t="shared" si="63"/>
        <v>48642.941370252862</v>
      </c>
      <c r="H75" s="66"/>
      <c r="I75" s="217"/>
      <c r="J75" s="207" t="s">
        <v>586</v>
      </c>
      <c r="K75" s="161">
        <f t="shared" ref="K75:O75" si="64">C75/C$56</f>
        <v>0</v>
      </c>
      <c r="L75" s="161">
        <f t="shared" si="64"/>
        <v>3.5783592598722818E-3</v>
      </c>
      <c r="M75" s="161">
        <f t="shared" si="64"/>
        <v>3.8632978019842554E-3</v>
      </c>
      <c r="N75" s="161">
        <f t="shared" si="64"/>
        <v>3.9000173580203581E-3</v>
      </c>
      <c r="O75" s="167">
        <f t="shared" si="64"/>
        <v>3.2536640550358282E-3</v>
      </c>
      <c r="P75" s="66"/>
      <c r="Q75" s="225">
        <f t="shared" si="38"/>
        <v>0.47902738528965405</v>
      </c>
      <c r="R75" s="161">
        <f t="shared" si="39"/>
        <v>0.15401977842528991</v>
      </c>
      <c r="S75" s="161">
        <f t="shared" si="40"/>
        <v>-0.13823179810990971</v>
      </c>
      <c r="T75" s="167">
        <f t="shared" ref="T75:T77" si="65">((G75/D75)^(1/3))-1</f>
        <v>0.13726055842716045</v>
      </c>
      <c r="U75" s="66"/>
      <c r="V75" s="66"/>
      <c r="W75" s="66"/>
      <c r="X75" s="66"/>
      <c r="Y75" s="66"/>
      <c r="Z75" s="66"/>
    </row>
    <row r="76" spans="2:26" ht="14.4">
      <c r="B76" s="93" t="s">
        <v>594</v>
      </c>
      <c r="C76" s="90">
        <f t="shared" ref="C76:G76" si="66">C70+C75</f>
        <v>-280439</v>
      </c>
      <c r="D76" s="90">
        <f t="shared" si="66"/>
        <v>-133622.56591078272</v>
      </c>
      <c r="E76" s="90">
        <f t="shared" si="66"/>
        <v>-124552.92233863112</v>
      </c>
      <c r="F76" s="90">
        <f t="shared" si="66"/>
        <v>-183285.49497490653</v>
      </c>
      <c r="G76" s="94">
        <f t="shared" si="66"/>
        <v>-259417.05862974713</v>
      </c>
      <c r="H76" s="66"/>
      <c r="I76" s="217"/>
      <c r="J76" s="207" t="s">
        <v>594</v>
      </c>
      <c r="K76" s="161">
        <f t="shared" ref="K76:O76" si="67">C76/C$56</f>
        <v>-2.6554915437102342E-2</v>
      </c>
      <c r="L76" s="161">
        <f t="shared" si="67"/>
        <v>-1.4458520404201343E-2</v>
      </c>
      <c r="M76" s="161">
        <f t="shared" si="67"/>
        <v>-9.8377548881263908E-3</v>
      </c>
      <c r="N76" s="161">
        <f t="shared" si="67"/>
        <v>-1.2663835881310813E-2</v>
      </c>
      <c r="O76" s="167">
        <f t="shared" si="67"/>
        <v>-1.7352074836553877E-2</v>
      </c>
      <c r="P76" s="66"/>
      <c r="Q76" s="225">
        <f t="shared" si="38"/>
        <v>-6.7875089138815348E-2</v>
      </c>
      <c r="R76" s="161">
        <f t="shared" si="39"/>
        <v>0.47154712658282616</v>
      </c>
      <c r="S76" s="161">
        <f t="shared" si="40"/>
        <v>0.41537146005614756</v>
      </c>
      <c r="T76" s="167">
        <f t="shared" si="65"/>
        <v>0.24749718576992685</v>
      </c>
      <c r="U76" s="66"/>
      <c r="V76" s="66"/>
      <c r="W76" s="66"/>
      <c r="X76" s="66"/>
      <c r="Y76" s="66"/>
      <c r="Z76" s="66"/>
    </row>
    <row r="77" spans="2:26" ht="14.4">
      <c r="B77" s="93" t="s">
        <v>578</v>
      </c>
      <c r="C77" s="90">
        <f t="shared" ref="C77:G77" si="68">C69+C76</f>
        <v>19704</v>
      </c>
      <c r="D77" s="90">
        <f t="shared" si="68"/>
        <v>304749.99999999994</v>
      </c>
      <c r="E77" s="90">
        <f t="shared" si="68"/>
        <v>513808.00000000035</v>
      </c>
      <c r="F77" s="90">
        <f t="shared" si="68"/>
        <v>776779.99999999977</v>
      </c>
      <c r="G77" s="94">
        <f t="shared" si="68"/>
        <v>672289.00000000035</v>
      </c>
      <c r="H77" s="66"/>
      <c r="I77" s="217"/>
      <c r="J77" s="201" t="s">
        <v>578</v>
      </c>
      <c r="K77" s="176">
        <f t="shared" ref="K77:O77" si="69">C77/C$56</f>
        <v>1.8657820551801444E-3</v>
      </c>
      <c r="L77" s="176">
        <f t="shared" si="69"/>
        <v>3.2975224380306527E-2</v>
      </c>
      <c r="M77" s="176">
        <f t="shared" si="69"/>
        <v>4.0582886925894998E-2</v>
      </c>
      <c r="N77" s="176">
        <f t="shared" si="69"/>
        <v>5.3670446956161959E-2</v>
      </c>
      <c r="O77" s="178">
        <f t="shared" si="69"/>
        <v>4.4968550261922868E-2</v>
      </c>
      <c r="P77" s="66"/>
      <c r="Q77" s="226">
        <f t="shared" si="38"/>
        <v>0.68599835931091202</v>
      </c>
      <c r="R77" s="176">
        <f t="shared" si="39"/>
        <v>0.51180985893563213</v>
      </c>
      <c r="S77" s="176">
        <f t="shared" si="40"/>
        <v>-0.13451813898401022</v>
      </c>
      <c r="T77" s="178">
        <f t="shared" si="65"/>
        <v>0.30177950669111775</v>
      </c>
      <c r="U77" s="66"/>
      <c r="V77" s="66"/>
      <c r="W77" s="66"/>
      <c r="X77" s="66"/>
      <c r="Y77" s="66"/>
      <c r="Z77" s="66"/>
    </row>
    <row r="78" spans="2:26" ht="14.4">
      <c r="B78" s="168" t="s">
        <v>579</v>
      </c>
      <c r="C78" s="89" t="s">
        <v>405</v>
      </c>
      <c r="D78" s="89" t="s">
        <v>405</v>
      </c>
      <c r="E78" s="89" t="s">
        <v>405</v>
      </c>
      <c r="F78" s="89" t="s">
        <v>405</v>
      </c>
      <c r="G78" s="92" t="s">
        <v>405</v>
      </c>
      <c r="H78" s="66"/>
      <c r="I78" s="217"/>
      <c r="J78" s="168" t="s">
        <v>579</v>
      </c>
      <c r="K78" s="210" t="s">
        <v>405</v>
      </c>
      <c r="L78" s="210" t="s">
        <v>405</v>
      </c>
      <c r="M78" s="210" t="s">
        <v>405</v>
      </c>
      <c r="N78" s="210" t="s">
        <v>405</v>
      </c>
      <c r="O78" s="214" t="s">
        <v>405</v>
      </c>
      <c r="P78" s="66"/>
      <c r="Q78" s="227" t="s">
        <v>405</v>
      </c>
      <c r="R78" s="210" t="s">
        <v>405</v>
      </c>
      <c r="S78" s="210" t="s">
        <v>405</v>
      </c>
      <c r="T78" s="214" t="s">
        <v>405</v>
      </c>
      <c r="U78" s="66"/>
      <c r="V78" s="66"/>
      <c r="W78" s="66"/>
      <c r="X78" s="66"/>
      <c r="Y78" s="66"/>
      <c r="Z78" s="66"/>
    </row>
    <row r="79" spans="2:26" ht="14.4">
      <c r="B79" s="168" t="s">
        <v>580</v>
      </c>
      <c r="C79" s="89" t="s">
        <v>405</v>
      </c>
      <c r="D79" s="89" t="s">
        <v>405</v>
      </c>
      <c r="E79" s="89" t="s">
        <v>405</v>
      </c>
      <c r="F79" s="89" t="s">
        <v>405</v>
      </c>
      <c r="G79" s="92" t="s">
        <v>405</v>
      </c>
      <c r="H79" s="66"/>
      <c r="I79" s="217"/>
      <c r="J79" s="168" t="s">
        <v>580</v>
      </c>
      <c r="K79" s="211" t="s">
        <v>405</v>
      </c>
      <c r="L79" s="211" t="s">
        <v>405</v>
      </c>
      <c r="M79" s="211" t="s">
        <v>405</v>
      </c>
      <c r="N79" s="211" t="s">
        <v>405</v>
      </c>
      <c r="O79" s="215" t="s">
        <v>405</v>
      </c>
      <c r="P79" s="66"/>
      <c r="Q79" s="228" t="s">
        <v>405</v>
      </c>
      <c r="R79" s="211" t="s">
        <v>405</v>
      </c>
      <c r="S79" s="211" t="s">
        <v>405</v>
      </c>
      <c r="T79" s="215" t="s">
        <v>405</v>
      </c>
      <c r="U79" s="66"/>
      <c r="V79" s="66"/>
      <c r="W79" s="66"/>
      <c r="X79" s="66"/>
      <c r="Y79" s="66"/>
      <c r="Z79" s="66"/>
    </row>
    <row r="80" spans="2:26" ht="14.4">
      <c r="B80" s="168" t="s">
        <v>581</v>
      </c>
      <c r="C80" s="89" t="s">
        <v>405</v>
      </c>
      <c r="D80" s="89" t="s">
        <v>405</v>
      </c>
      <c r="E80" s="89" t="s">
        <v>405</v>
      </c>
      <c r="F80" s="89" t="s">
        <v>405</v>
      </c>
      <c r="G80" s="92" t="s">
        <v>405</v>
      </c>
      <c r="H80" s="66"/>
      <c r="I80" s="217"/>
      <c r="J80" s="168" t="s">
        <v>581</v>
      </c>
      <c r="K80" s="211" t="s">
        <v>405</v>
      </c>
      <c r="L80" s="211" t="s">
        <v>405</v>
      </c>
      <c r="M80" s="211" t="s">
        <v>405</v>
      </c>
      <c r="N80" s="211" t="s">
        <v>405</v>
      </c>
      <c r="O80" s="215" t="s">
        <v>405</v>
      </c>
      <c r="P80" s="66"/>
      <c r="Q80" s="228" t="s">
        <v>405</v>
      </c>
      <c r="R80" s="211" t="s">
        <v>405</v>
      </c>
      <c r="S80" s="211" t="s">
        <v>405</v>
      </c>
      <c r="T80" s="215" t="s">
        <v>405</v>
      </c>
      <c r="U80" s="66"/>
      <c r="V80" s="66"/>
      <c r="W80" s="66"/>
      <c r="X80" s="66"/>
      <c r="Y80" s="66"/>
      <c r="Z80" s="66"/>
    </row>
    <row r="81" spans="2:26" thickBot="1">
      <c r="B81" s="209" t="s">
        <v>582</v>
      </c>
      <c r="C81" s="96">
        <f t="shared" ref="C81:G81" si="70">SUM(C77:C80)</f>
        <v>19704</v>
      </c>
      <c r="D81" s="96">
        <f t="shared" si="70"/>
        <v>304749.99999999994</v>
      </c>
      <c r="E81" s="96">
        <f t="shared" si="70"/>
        <v>513808.00000000035</v>
      </c>
      <c r="F81" s="96">
        <f t="shared" si="70"/>
        <v>776779.99999999977</v>
      </c>
      <c r="G81" s="97">
        <f t="shared" si="70"/>
        <v>672289.00000000035</v>
      </c>
      <c r="H81" s="66"/>
      <c r="I81" s="217"/>
      <c r="J81" s="206" t="s">
        <v>582</v>
      </c>
      <c r="K81" s="180">
        <f t="shared" ref="K81:O81" si="71">C81/C$56</f>
        <v>1.8657820551801444E-3</v>
      </c>
      <c r="L81" s="180">
        <f t="shared" si="71"/>
        <v>3.2975224380306527E-2</v>
      </c>
      <c r="M81" s="180">
        <f t="shared" si="71"/>
        <v>4.0582886925894998E-2</v>
      </c>
      <c r="N81" s="180">
        <f t="shared" si="71"/>
        <v>5.3670446956161959E-2</v>
      </c>
      <c r="O81" s="181">
        <f t="shared" si="71"/>
        <v>4.4968550261922868E-2</v>
      </c>
      <c r="P81" s="66"/>
      <c r="Q81" s="229">
        <f t="shared" ref="Q81:S81" si="72">(E81/D81)-1</f>
        <v>0.68599835931091202</v>
      </c>
      <c r="R81" s="180">
        <f t="shared" si="72"/>
        <v>0.51180985893563213</v>
      </c>
      <c r="S81" s="180">
        <f t="shared" si="72"/>
        <v>-0.13451813898401022</v>
      </c>
      <c r="T81" s="181">
        <f>((G81/D81)^(1/3))-1</f>
        <v>0.30177950669111775</v>
      </c>
      <c r="U81" s="66"/>
      <c r="V81" s="66"/>
      <c r="W81" s="66"/>
      <c r="X81" s="66"/>
      <c r="Y81" s="66"/>
      <c r="Z81" s="66"/>
    </row>
    <row r="82" spans="2:26" ht="14.4"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2:26" ht="18.600000000000001" thickBot="1">
      <c r="B83" s="66"/>
      <c r="C83" s="66"/>
      <c r="D83" s="66"/>
      <c r="E83" s="66"/>
      <c r="F83" s="66"/>
      <c r="G83" s="66"/>
      <c r="H83" s="66"/>
      <c r="I83" s="66"/>
      <c r="J83" s="189" t="s">
        <v>609</v>
      </c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2:26" ht="18">
      <c r="B84" s="580" t="s">
        <v>595</v>
      </c>
      <c r="C84" s="581"/>
      <c r="D84" s="581"/>
      <c r="E84" s="581"/>
      <c r="F84" s="581"/>
      <c r="G84" s="582"/>
      <c r="H84" s="66"/>
      <c r="I84" s="66"/>
      <c r="J84" s="580" t="s">
        <v>595</v>
      </c>
      <c r="K84" s="581"/>
      <c r="L84" s="581"/>
      <c r="M84" s="581"/>
      <c r="N84" s="581"/>
      <c r="O84" s="582"/>
      <c r="P84" s="66"/>
      <c r="Q84" s="590" t="s">
        <v>564</v>
      </c>
      <c r="R84" s="591"/>
      <c r="S84" s="591"/>
      <c r="T84" s="592"/>
    </row>
    <row r="85" spans="2:26" ht="14.4">
      <c r="B85" s="85"/>
      <c r="C85" s="98">
        <v>2020</v>
      </c>
      <c r="D85" s="98">
        <v>2021</v>
      </c>
      <c r="E85" s="98">
        <v>2022</v>
      </c>
      <c r="F85" s="98">
        <v>2023</v>
      </c>
      <c r="G85" s="164">
        <v>2024</v>
      </c>
      <c r="H85" s="66"/>
      <c r="I85" s="66"/>
      <c r="J85" s="85"/>
      <c r="K85" s="98">
        <v>2020</v>
      </c>
      <c r="L85" s="98">
        <v>2021</v>
      </c>
      <c r="M85" s="98">
        <v>2022</v>
      </c>
      <c r="N85" s="98">
        <v>2023</v>
      </c>
      <c r="O85" s="164">
        <v>2024</v>
      </c>
      <c r="P85" s="66"/>
      <c r="Q85" s="99">
        <v>2022</v>
      </c>
      <c r="R85" s="98">
        <v>2023</v>
      </c>
      <c r="S85" s="98">
        <v>2024</v>
      </c>
      <c r="T85" s="216" t="s">
        <v>512</v>
      </c>
      <c r="U85" s="66"/>
    </row>
    <row r="86" spans="2:26" ht="14.4">
      <c r="B86" s="85" t="s">
        <v>513</v>
      </c>
      <c r="C86" s="83"/>
      <c r="D86" s="83"/>
      <c r="E86" s="83"/>
      <c r="F86" s="83"/>
      <c r="G86" s="88"/>
      <c r="H86" s="66"/>
      <c r="I86" s="66"/>
      <c r="J86" s="85" t="s">
        <v>513</v>
      </c>
      <c r="K86" s="83"/>
      <c r="L86" s="83"/>
      <c r="M86" s="83"/>
      <c r="N86" s="83"/>
      <c r="O86" s="88"/>
      <c r="P86" s="66"/>
      <c r="Q86" s="85"/>
      <c r="R86" s="83"/>
      <c r="S86" s="83"/>
      <c r="T86" s="88"/>
      <c r="U86" s="66"/>
    </row>
    <row r="87" spans="2:26" ht="14.4">
      <c r="B87" s="201" t="s">
        <v>565</v>
      </c>
      <c r="C87" s="90">
        <f>C56</f>
        <v>10560719</v>
      </c>
      <c r="D87" s="90">
        <f>D56</f>
        <v>9241787</v>
      </c>
      <c r="E87" s="90">
        <f>E56</f>
        <v>12660706</v>
      </c>
      <c r="F87" s="90">
        <f>F56</f>
        <v>14473142</v>
      </c>
      <c r="G87" s="94">
        <f>G56</f>
        <v>14950204</v>
      </c>
      <c r="H87" s="66"/>
      <c r="I87" s="66"/>
      <c r="J87" s="99" t="s">
        <v>565</v>
      </c>
      <c r="K87" s="219">
        <f t="shared" ref="K87:K93" si="73">C87/$C$87</f>
        <v>1</v>
      </c>
      <c r="L87" s="219">
        <f t="shared" ref="L87:L93" si="74">D87/$D$87</f>
        <v>1</v>
      </c>
      <c r="M87" s="219">
        <f>E87/$E$87</f>
        <v>1</v>
      </c>
      <c r="N87" s="219">
        <f>F87/$F$87</f>
        <v>1</v>
      </c>
      <c r="O87" s="221">
        <f t="shared" ref="O87:O93" si="75">G87/$G$87</f>
        <v>1</v>
      </c>
      <c r="P87" s="66"/>
      <c r="Q87" s="230">
        <f t="shared" ref="Q87:Q89" si="76">((F87/E87)-1)</f>
        <v>0.14315441808695351</v>
      </c>
      <c r="R87" s="223">
        <f t="shared" ref="R87:R88" si="77">((F87/E87)-1)</f>
        <v>0.14315441808695351</v>
      </c>
      <c r="S87" s="223">
        <f>((G87/F87)-1)</f>
        <v>3.2961882084760807E-2</v>
      </c>
      <c r="T87" s="224">
        <f>((G87/D87)^(1/3)-1)</f>
        <v>0.17389806827032039</v>
      </c>
      <c r="U87" s="66"/>
    </row>
    <row r="88" spans="2:26" ht="14.4">
      <c r="B88" s="168" t="s">
        <v>568</v>
      </c>
      <c r="C88" s="89">
        <f>C59</f>
        <v>-393099</v>
      </c>
      <c r="D88" s="89">
        <f>D59</f>
        <v>-342652</v>
      </c>
      <c r="E88" s="89">
        <f>E59</f>
        <v>-584234</v>
      </c>
      <c r="F88" s="89">
        <f>F59</f>
        <v>-352969</v>
      </c>
      <c r="G88" s="92">
        <f>G59</f>
        <v>-406658</v>
      </c>
      <c r="H88" s="66"/>
      <c r="I88" s="66"/>
      <c r="J88" s="168" t="s">
        <v>568</v>
      </c>
      <c r="K88" s="220">
        <f t="shared" si="73"/>
        <v>-3.7222749701038345E-2</v>
      </c>
      <c r="L88" s="220">
        <f t="shared" si="74"/>
        <v>-3.7076379275999327E-2</v>
      </c>
      <c r="M88" s="220">
        <f t="shared" ref="M88:N88" si="78">E88/$F$87</f>
        <v>-4.0366770394431283E-2</v>
      </c>
      <c r="N88" s="220">
        <f t="shared" si="78"/>
        <v>-2.4387862704587572E-2</v>
      </c>
      <c r="O88" s="222">
        <f t="shared" si="75"/>
        <v>-2.720083284482272E-2</v>
      </c>
      <c r="P88" s="66"/>
      <c r="Q88" s="231">
        <f t="shared" si="76"/>
        <v>-0.39584310396176869</v>
      </c>
      <c r="R88" s="220">
        <f t="shared" si="77"/>
        <v>-0.39584310396176869</v>
      </c>
      <c r="S88" s="220">
        <f>((G88/F88)-1)</f>
        <v>0.15210684224393645</v>
      </c>
      <c r="T88" s="222">
        <f t="shared" ref="T88:T95" si="79">((G88/D88)^(1/3)-1)</f>
        <v>5.8746570195426395E-2</v>
      </c>
      <c r="U88" s="66"/>
    </row>
    <row r="89" spans="2:26" ht="14.4">
      <c r="B89" s="168" t="s">
        <v>596</v>
      </c>
      <c r="C89" s="89">
        <f t="shared" ref="C89:G90" si="80">C65</f>
        <v>-8512</v>
      </c>
      <c r="D89" s="89">
        <f t="shared" si="80"/>
        <v>-789018.50238970155</v>
      </c>
      <c r="E89" s="89">
        <f t="shared" si="80"/>
        <v>-1636139.6621053379</v>
      </c>
      <c r="F89" s="89">
        <f t="shared" si="80"/>
        <v>-1489855.1489201288</v>
      </c>
      <c r="G89" s="92">
        <f t="shared" si="80"/>
        <v>-1197338.4383772009</v>
      </c>
      <c r="H89" s="66"/>
      <c r="I89" s="66"/>
      <c r="J89" s="168" t="s">
        <v>596</v>
      </c>
      <c r="K89" s="220">
        <f t="shared" si="73"/>
        <v>-8.060057274509435E-4</v>
      </c>
      <c r="L89" s="220">
        <f t="shared" si="74"/>
        <v>-8.5375101415960095E-2</v>
      </c>
      <c r="M89" s="220">
        <f t="shared" ref="M89:M93" si="81">E89/$E$87</f>
        <v>-0.1292297334844785</v>
      </c>
      <c r="N89" s="220">
        <f t="shared" ref="N89:N93" si="82">F89/$F$87</f>
        <v>-0.10293930294611417</v>
      </c>
      <c r="O89" s="222">
        <f t="shared" si="75"/>
        <v>-8.0088434805117098E-2</v>
      </c>
      <c r="P89" s="66"/>
      <c r="Q89" s="231">
        <f t="shared" si="76"/>
        <v>-8.9408328991288144E-2</v>
      </c>
      <c r="R89" s="220">
        <f>((F89/E89)-1)</f>
        <v>-8.9408328991288144E-2</v>
      </c>
      <c r="S89" s="220">
        <f t="shared" ref="S89:S95" si="83">((G89/F89)-1)</f>
        <v>-0.19633902715639762</v>
      </c>
      <c r="T89" s="222">
        <f t="shared" si="79"/>
        <v>0.14914962364389184</v>
      </c>
      <c r="U89" s="66"/>
    </row>
    <row r="90" spans="2:26" ht="14.4">
      <c r="B90" s="201" t="s">
        <v>597</v>
      </c>
      <c r="C90" s="90">
        <f t="shared" si="80"/>
        <v>4834841</v>
      </c>
      <c r="D90" s="90">
        <f t="shared" si="80"/>
        <v>3188064.4976102985</v>
      </c>
      <c r="E90" s="90">
        <f t="shared" si="80"/>
        <v>4166373.3378946623</v>
      </c>
      <c r="F90" s="90">
        <f t="shared" si="80"/>
        <v>4837742.8510798709</v>
      </c>
      <c r="G90" s="94">
        <f t="shared" si="80"/>
        <v>6385510.5616227994</v>
      </c>
      <c r="H90" s="66"/>
      <c r="I90" s="66"/>
      <c r="J90" s="201" t="s">
        <v>597</v>
      </c>
      <c r="K90" s="176">
        <f t="shared" si="73"/>
        <v>0.45781362045519819</v>
      </c>
      <c r="L90" s="176">
        <f t="shared" si="74"/>
        <v>0.34496191024639483</v>
      </c>
      <c r="M90" s="176">
        <f t="shared" si="81"/>
        <v>0.32907906856810848</v>
      </c>
      <c r="N90" s="176">
        <f t="shared" si="82"/>
        <v>0.33425657338813308</v>
      </c>
      <c r="O90" s="178">
        <f t="shared" si="75"/>
        <v>0.42711862404170536</v>
      </c>
      <c r="P90" s="66"/>
      <c r="Q90" s="226">
        <f t="shared" ref="Q90:Q95" si="84">((F90/E90)-1)</f>
        <v>0.1611400272459651</v>
      </c>
      <c r="R90" s="176">
        <f t="shared" ref="R90:R95" si="85">((G90/F90)-1)</f>
        <v>0.3199359201569465</v>
      </c>
      <c r="S90" s="176">
        <f t="shared" si="83"/>
        <v>0.3199359201569465</v>
      </c>
      <c r="T90" s="178">
        <f t="shared" si="79"/>
        <v>0.26053867858298974</v>
      </c>
      <c r="U90" s="66"/>
    </row>
    <row r="91" spans="2:26" ht="14.4">
      <c r="B91" s="201" t="s">
        <v>598</v>
      </c>
      <c r="C91" s="90">
        <f>C69</f>
        <v>300143</v>
      </c>
      <c r="D91" s="90">
        <f>D69</f>
        <v>438372.56591078267</v>
      </c>
      <c r="E91" s="90">
        <f>E69</f>
        <v>638360.92233863147</v>
      </c>
      <c r="F91" s="90">
        <f>F69</f>
        <v>960065.49497490632</v>
      </c>
      <c r="G91" s="94">
        <f>G69</f>
        <v>931706.05862974748</v>
      </c>
      <c r="H91" s="66"/>
      <c r="I91" s="66"/>
      <c r="J91" s="201" t="s">
        <v>598</v>
      </c>
      <c r="K91" s="176">
        <f t="shared" si="73"/>
        <v>2.8420697492282487E-2</v>
      </c>
      <c r="L91" s="176">
        <f t="shared" si="74"/>
        <v>4.7433744784507875E-2</v>
      </c>
      <c r="M91" s="176">
        <f t="shared" si="81"/>
        <v>5.0420641814021387E-2</v>
      </c>
      <c r="N91" s="176">
        <f t="shared" si="82"/>
        <v>6.6334282837472766E-2</v>
      </c>
      <c r="O91" s="178">
        <f t="shared" si="75"/>
        <v>6.2320625098476745E-2</v>
      </c>
      <c r="P91" s="66"/>
      <c r="Q91" s="226">
        <f t="shared" si="84"/>
        <v>0.50395405072370658</v>
      </c>
      <c r="R91" s="176">
        <f t="shared" si="85"/>
        <v>-2.9539064255090342E-2</v>
      </c>
      <c r="S91" s="176">
        <f t="shared" si="83"/>
        <v>-2.9539064255090342E-2</v>
      </c>
      <c r="T91" s="178">
        <f t="shared" si="79"/>
        <v>0.28571640133483789</v>
      </c>
      <c r="U91" s="66"/>
    </row>
    <row r="92" spans="2:26" ht="14.4">
      <c r="B92" s="168" t="s">
        <v>599</v>
      </c>
      <c r="C92" s="89">
        <f t="shared" ref="C92:G93" si="86">C76</f>
        <v>-280439</v>
      </c>
      <c r="D92" s="89">
        <f t="shared" si="86"/>
        <v>-133622.56591078272</v>
      </c>
      <c r="E92" s="89">
        <f t="shared" si="86"/>
        <v>-124552.92233863112</v>
      </c>
      <c r="F92" s="89">
        <f t="shared" si="86"/>
        <v>-183285.49497490653</v>
      </c>
      <c r="G92" s="92">
        <f t="shared" si="86"/>
        <v>-259417.05862974713</v>
      </c>
      <c r="H92" s="66"/>
      <c r="I92" s="66"/>
      <c r="J92" s="168" t="s">
        <v>599</v>
      </c>
      <c r="K92" s="220">
        <f t="shared" si="73"/>
        <v>-2.6554915437102342E-2</v>
      </c>
      <c r="L92" s="220">
        <f t="shared" si="74"/>
        <v>-1.4458520404201343E-2</v>
      </c>
      <c r="M92" s="220">
        <f t="shared" si="81"/>
        <v>-9.8377548881263908E-3</v>
      </c>
      <c r="N92" s="220">
        <f t="shared" si="82"/>
        <v>-1.2663835881310813E-2</v>
      </c>
      <c r="O92" s="222">
        <f t="shared" si="75"/>
        <v>-1.7352074836553877E-2</v>
      </c>
      <c r="P92" s="66"/>
      <c r="Q92" s="231">
        <f t="shared" si="84"/>
        <v>0.47154712658282616</v>
      </c>
      <c r="R92" s="220">
        <f t="shared" si="85"/>
        <v>0.41537146005614756</v>
      </c>
      <c r="S92" s="220">
        <f t="shared" si="83"/>
        <v>0.41537146005614756</v>
      </c>
      <c r="T92" s="222">
        <f t="shared" si="79"/>
        <v>0.24749718576992685</v>
      </c>
      <c r="U92" s="66"/>
    </row>
    <row r="93" spans="2:26" ht="14.4">
      <c r="B93" s="201" t="s">
        <v>578</v>
      </c>
      <c r="C93" s="90">
        <f t="shared" si="86"/>
        <v>19704</v>
      </c>
      <c r="D93" s="90">
        <f t="shared" si="86"/>
        <v>304749.99999999994</v>
      </c>
      <c r="E93" s="90">
        <f t="shared" si="86"/>
        <v>513808.00000000035</v>
      </c>
      <c r="F93" s="90">
        <f t="shared" si="86"/>
        <v>776779.99999999977</v>
      </c>
      <c r="G93" s="94">
        <f t="shared" si="86"/>
        <v>672289.00000000035</v>
      </c>
      <c r="H93" s="66"/>
      <c r="I93" s="66"/>
      <c r="J93" s="201" t="s">
        <v>578</v>
      </c>
      <c r="K93" s="176">
        <f t="shared" si="73"/>
        <v>1.8657820551801444E-3</v>
      </c>
      <c r="L93" s="176">
        <f t="shared" si="74"/>
        <v>3.2975224380306527E-2</v>
      </c>
      <c r="M93" s="176">
        <f t="shared" si="81"/>
        <v>4.0582886925894998E-2</v>
      </c>
      <c r="N93" s="176">
        <f t="shared" si="82"/>
        <v>5.3670446956161959E-2</v>
      </c>
      <c r="O93" s="178">
        <f t="shared" si="75"/>
        <v>4.4968550261922868E-2</v>
      </c>
      <c r="P93" s="66"/>
      <c r="Q93" s="226">
        <f t="shared" si="84"/>
        <v>0.51180985893563213</v>
      </c>
      <c r="R93" s="176">
        <f t="shared" si="85"/>
        <v>-0.13451813898401022</v>
      </c>
      <c r="S93" s="176">
        <f t="shared" si="83"/>
        <v>-0.13451813898401022</v>
      </c>
      <c r="T93" s="178">
        <f t="shared" si="79"/>
        <v>0.30177950669111775</v>
      </c>
      <c r="U93" s="66"/>
    </row>
    <row r="94" spans="2:26" ht="14.4">
      <c r="B94" s="168" t="s">
        <v>600</v>
      </c>
      <c r="C94" s="89" t="s">
        <v>405</v>
      </c>
      <c r="D94" s="89" t="s">
        <v>405</v>
      </c>
      <c r="E94" s="89" t="s">
        <v>405</v>
      </c>
      <c r="F94" s="89" t="s">
        <v>405</v>
      </c>
      <c r="G94" s="92" t="s">
        <v>405</v>
      </c>
      <c r="H94" s="66"/>
      <c r="I94" s="66"/>
      <c r="J94" s="168" t="s">
        <v>600</v>
      </c>
      <c r="K94" s="210" t="s">
        <v>405</v>
      </c>
      <c r="L94" s="210" t="s">
        <v>405</v>
      </c>
      <c r="M94" s="210" t="s">
        <v>405</v>
      </c>
      <c r="N94" s="210" t="s">
        <v>405</v>
      </c>
      <c r="O94" s="214" t="s">
        <v>405</v>
      </c>
      <c r="P94" s="66"/>
      <c r="Q94" s="227" t="s">
        <v>405</v>
      </c>
      <c r="R94" s="210" t="s">
        <v>405</v>
      </c>
      <c r="S94" s="210" t="s">
        <v>405</v>
      </c>
      <c r="T94" s="214" t="s">
        <v>405</v>
      </c>
      <c r="U94" s="66"/>
    </row>
    <row r="95" spans="2:26" thickBot="1">
      <c r="B95" s="206" t="s">
        <v>582</v>
      </c>
      <c r="C95" s="96">
        <f>C81</f>
        <v>19704</v>
      </c>
      <c r="D95" s="96">
        <f>D81</f>
        <v>304749.99999999994</v>
      </c>
      <c r="E95" s="96">
        <f>E81</f>
        <v>513808.00000000035</v>
      </c>
      <c r="F95" s="96">
        <f>F81</f>
        <v>776779.99999999977</v>
      </c>
      <c r="G95" s="97">
        <f>G81</f>
        <v>672289.00000000035</v>
      </c>
      <c r="H95" s="66"/>
      <c r="I95" s="66"/>
      <c r="J95" s="206" t="s">
        <v>582</v>
      </c>
      <c r="K95" s="180">
        <f>C95/$C$87</f>
        <v>1.8657820551801444E-3</v>
      </c>
      <c r="L95" s="180">
        <f>D95/$D$87</f>
        <v>3.2975224380306527E-2</v>
      </c>
      <c r="M95" s="180">
        <f>E95/$E$87</f>
        <v>4.0582886925894998E-2</v>
      </c>
      <c r="N95" s="180">
        <f>F95/$F$87</f>
        <v>5.3670446956161959E-2</v>
      </c>
      <c r="O95" s="181">
        <f>G95/$G$87</f>
        <v>4.4968550261922868E-2</v>
      </c>
      <c r="P95" s="66"/>
      <c r="Q95" s="229">
        <f t="shared" si="84"/>
        <v>0.51180985893563213</v>
      </c>
      <c r="R95" s="180">
        <f t="shared" si="85"/>
        <v>-0.13451813898401022</v>
      </c>
      <c r="S95" s="180">
        <f t="shared" si="83"/>
        <v>-0.13451813898401022</v>
      </c>
      <c r="T95" s="181">
        <f t="shared" si="79"/>
        <v>0.30177950669111775</v>
      </c>
      <c r="U95" s="66"/>
    </row>
    <row r="96" spans="2:26" ht="14.4"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 spans="2:26" ht="14.4"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2:26" ht="14.4"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2:26" ht="14.4"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2:26" ht="14.4">
      <c r="B100" s="73" t="s">
        <v>601</v>
      </c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2:26" ht="14.4">
      <c r="B101" s="74" t="s">
        <v>602</v>
      </c>
      <c r="C101" s="66"/>
      <c r="D101" s="66"/>
      <c r="E101" s="74" t="s">
        <v>603</v>
      </c>
      <c r="F101" s="74" t="s">
        <v>604</v>
      </c>
      <c r="G101" s="74" t="s">
        <v>605</v>
      </c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2:26" ht="14.4">
      <c r="B102" s="75">
        <v>2024</v>
      </c>
      <c r="C102" s="66"/>
      <c r="D102" s="66"/>
      <c r="E102" s="76">
        <f t="shared" ref="E102:E105" si="87">ABS(F102)/G102</f>
        <v>0.19839125871642646</v>
      </c>
      <c r="F102" s="77">
        <f>D44</f>
        <v>-75423</v>
      </c>
      <c r="G102" s="77">
        <f>D43</f>
        <v>380173</v>
      </c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2:26" ht="14.4">
      <c r="B103" s="75">
        <v>2023</v>
      </c>
      <c r="C103" s="66"/>
      <c r="D103" s="66"/>
      <c r="E103" s="76">
        <f t="shared" si="87"/>
        <v>0.28197087401705745</v>
      </c>
      <c r="F103" s="77">
        <f>E44</f>
        <v>-201773</v>
      </c>
      <c r="G103" s="77">
        <f>E43</f>
        <v>715581</v>
      </c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2:26" ht="14.4">
      <c r="B104" s="75">
        <v>2022</v>
      </c>
      <c r="C104" s="66"/>
      <c r="D104" s="66"/>
      <c r="E104" s="76">
        <f t="shared" si="87"/>
        <v>0.23545350841190116</v>
      </c>
      <c r="F104" s="77">
        <f>F44</f>
        <v>-239221</v>
      </c>
      <c r="G104" s="77">
        <f>F43</f>
        <v>1016001</v>
      </c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2:26" ht="14.4">
      <c r="B105" s="75">
        <v>2021</v>
      </c>
      <c r="C105" s="66"/>
      <c r="D105" s="66"/>
      <c r="E105" s="76">
        <f t="shared" si="87"/>
        <v>0.15790086791616198</v>
      </c>
      <c r="F105" s="77">
        <f>G44</f>
        <v>-126060</v>
      </c>
      <c r="G105" s="77">
        <f>G43</f>
        <v>798349</v>
      </c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2:26" ht="14.4"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2:26" ht="14.4"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2:26" ht="14.4"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2:26" ht="14.4"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2:26" ht="14.4"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2:26" ht="14.4"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2:26" ht="14.4"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2:26" ht="14.4"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2:26" ht="14.4"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2:26" ht="14.4"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2:26" ht="14.4"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2:26" ht="14.4"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2:26" ht="14.4"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2:26" ht="14.4"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2:26" ht="14.4"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2:26" ht="14.4"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2:26" ht="14.4"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2:26" ht="14.4"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2:26" ht="14.4"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2:26" ht="14.4"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2:26" ht="14.4"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2:26" ht="14.4"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2:26" ht="14.4"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2:26" ht="14.4"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2:26" ht="14.4"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2:26" ht="14.4"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2:26" ht="14.4"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2:26" ht="14.4"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2:26" ht="14.4"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2:26" ht="14.4"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2:26" ht="14.4"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2:26" ht="14.4"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2:26" ht="14.4"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2:26" ht="14.4"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2:26" ht="14.4"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2:26" ht="14.4"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2:26" ht="14.4"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2:26" ht="14.4"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2:26" ht="14.4"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2:26" ht="14.4"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2:26" ht="14.4"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2:26" ht="14.4"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2:26" ht="14.4"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2:26" ht="14.4"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2:26" ht="14.4"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2:26" ht="14.4"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2:26" ht="14.4"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2:26" ht="14.4"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2:26" ht="14.4"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2:26" ht="14.4"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2:26" ht="14.4"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2:26" ht="14.4"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2:26" ht="14.4"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2:26" ht="14.4"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2:26" ht="14.4"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2:26" ht="14.4"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2:26" ht="14.4"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2:26" ht="14.4"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2:26" ht="14.4"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2:26" ht="14.4"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2:26" ht="14.4"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2:26" ht="14.4"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2:26" ht="14.4"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2:26" ht="14.4"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2:26" ht="14.4"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2:26" ht="14.4"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2:26" ht="14.4"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2:26" ht="14.4"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2:26" ht="14.4"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2:26" ht="14.4"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2:26" ht="14.4"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2:26" ht="14.4"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2:26" ht="14.4"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2:26" ht="14.4"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2:26" ht="14.4"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2:26" ht="14.4"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2:26" ht="14.4"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2:26" ht="14.4"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2:26" ht="14.4"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2:26" ht="14.4"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2:26" ht="14.4"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2:26" ht="14.4"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2:26" ht="14.4"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2:26" ht="14.4"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2:26" ht="14.4"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2:26" ht="14.4"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2:26" ht="14.4"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2:26" ht="14.4"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2:26" ht="14.4"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2:26" ht="14.4"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2:26" ht="14.4"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2:26" ht="14.4"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2:26" ht="14.4"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2:26" ht="14.4"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2:26" ht="14.4"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2:26" ht="14.4"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2:26" ht="14.4"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2:26" ht="14.4"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2:26" ht="14.4"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2:26" ht="14.4"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2:26" ht="14.4"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2:26" ht="14.4"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2:26" ht="14.4"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2:26" ht="14.4"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2:26" ht="14.4"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2:26" ht="14.4"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2:26" ht="14.4"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2:26" ht="14.4"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2:26" ht="14.4"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2:26" ht="14.4"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2:26" ht="14.4"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2:26" ht="14.4"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2:26" ht="14.4"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2:26" ht="14.4"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2:26" ht="14.4"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2:26" ht="14.4"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2:26" ht="14.4"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2:26" ht="14.4"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2:26" ht="14.4"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2:26" ht="14.4"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2:26" ht="14.4"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2:26" ht="14.4"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2:26" ht="14.4"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2:26" ht="14.4"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2:26" ht="14.4"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2:26" ht="14.4"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2:26" ht="14.4"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2:26" ht="14.4"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2:26" ht="14.4"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2:26" ht="14.4"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2:26" ht="14.4"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2:26" ht="14.4"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2:26" ht="14.4"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2:26" ht="14.4"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2:26" ht="14.4"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2:26" ht="14.4"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2:26" ht="14.4"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2:26" ht="14.4"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2:26" ht="14.4"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2:26" ht="14.4"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2:26" ht="14.4"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2:26" ht="14.4"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2:26" ht="14.4"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2:26" ht="14.4"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2:26" ht="14.4"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2:26" ht="14.4"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2:26" ht="14.4"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2:26" ht="14.4"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2:26" ht="14.4"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2:26" ht="14.4"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2:26" ht="14.4"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2:26" ht="14.4"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2:26" ht="14.4"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2:26" ht="14.4"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2:26" ht="14.4"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2:26" ht="14.4"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2:26" ht="14.4"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2:26" ht="14.4"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2:26" ht="14.4"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2:26" ht="14.4"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2:26" ht="14.4"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2:26" ht="14.4"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2:26" ht="14.4"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2:26" ht="14.4"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2:26" ht="14.4"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2:26" ht="14.4"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2:26" ht="14.4"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2:26" ht="14.4"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2:26" ht="14.4"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2:26" ht="14.4"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2:26" ht="14.4"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2:26" ht="14.4"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2:26" ht="14.4"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2:26" ht="14.4"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2:26" ht="14.4"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2:26" ht="14.4"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2:26" ht="14.4"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2:26" ht="14.4"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2:26" ht="14.4"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2:26" ht="14.4"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2:26" ht="14.4"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2:26" ht="14.4"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2:26" ht="14.4"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2:26" ht="14.4"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2:26" ht="14.4"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2:26" ht="14.4"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2:26" ht="14.4"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2:26" ht="14.4"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2:26" ht="14.4"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2:26" ht="14.4"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2:26" ht="14.4"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2:26" ht="14.4"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2:26" ht="14.4"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2:26" ht="14.4"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2:26" ht="14.4"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2:26" ht="14.4"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2:26" ht="14.4"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2:26" ht="14.4"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2:26" ht="14.4"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2:26" ht="14.4"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2:26" ht="14.4"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2:26" ht="14.4"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2:26" ht="14.4"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2:26" ht="14.4"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2:26" ht="14.4"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2:26" ht="14.4"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2:26" ht="14.4"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2:26" ht="14.4"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2:26" ht="14.4"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2:26" ht="14.4"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2:26" ht="14.4"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2:26" ht="14.4"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2:26" ht="14.4"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2:26" ht="14.4"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2:26" ht="14.4"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2:26" ht="14.4"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2:26" ht="14.4"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2:26" ht="14.4"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2:26" ht="14.4"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2:26" ht="14.4"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2:26" ht="14.4"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2:26" ht="14.4"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2:26" ht="14.4"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2:26" ht="14.4"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2:26" ht="14.4"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2:26" ht="14.4"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2:26" ht="14.4"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2:26" ht="14.4"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2:26" ht="14.4"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2:26" ht="14.4"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2:26" ht="14.4"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2:26" ht="14.4"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2:26" ht="14.4"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2:26" ht="14.4"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2:26" ht="14.4"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2:26" ht="14.4"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2:26" ht="14.4"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2:26" ht="14.4"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2:26" ht="14.4"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2:26" ht="14.4"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2:26" ht="14.4"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2:26" ht="14.4"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2:26" ht="14.4"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2:26" ht="14.4"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2:26" ht="14.4"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2:26" ht="14.4"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2:26" ht="14.4"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2:26" ht="14.4"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2:26" ht="14.4"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2:26" ht="14.4"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2:26" ht="14.4"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2:26" ht="14.4"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2:26" ht="14.4"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2:26" ht="14.4"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2:26" ht="14.4"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2:26" ht="14.4"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2:26" ht="14.4"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2:26" ht="14.4"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2:26" ht="14.4"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2:26" ht="14.4"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2:26" ht="14.4"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2:26" ht="14.4"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2:26" ht="14.4"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2:26" ht="14.4"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2:26" ht="14.4"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2:26" ht="14.4"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2:26" ht="14.4"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2:26" ht="14.4"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2:26" ht="14.4"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2:26" ht="14.4"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2:26" ht="14.4"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2:26" ht="14.4"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2:26" ht="14.4"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2:26" ht="14.4"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2:26" ht="14.4"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2:26" ht="14.4"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2:26" ht="14.4"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2:26" ht="14.4"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2:26" ht="14.4"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2:26" ht="14.4"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2:26" ht="14.4"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2:26" ht="14.4"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2:26" ht="14.4"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2:26" ht="14.4"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2:26" ht="14.4"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2:26" ht="14.4"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2:26" ht="14.4"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2:26" ht="14.4"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2:26" ht="14.4"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2:26" ht="14.4"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2:26" ht="14.4"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2:26" ht="14.4"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2:26" ht="14.4"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2:26" ht="14.4"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2:26" ht="14.4"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2:26" ht="14.4"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2:26" ht="14.4"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2:26" ht="14.4"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2:26" ht="14.4"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2:26" ht="14.4"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2:26" ht="14.4"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2:26" ht="14.4"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2:26" ht="14.4"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2:26" ht="14.4"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2:26" ht="14.4"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2:26" ht="14.4"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2:26" ht="14.4"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2:26" ht="14.4"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2:26" ht="14.4"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2:26" ht="14.4"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2:26" ht="14.4"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2:26" ht="14.4"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2:26" ht="14.4"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2:26" ht="14.4"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2:26" ht="14.4"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2:26" ht="14.4"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2:26" ht="14.4"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2:26" ht="14.4"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2:26" ht="14.4"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2:26" ht="14.4"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2:26" ht="14.4"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2:26" ht="14.4"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2:26" ht="14.4"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2:26" ht="14.4"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2:26" ht="14.4"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2:26" ht="14.4"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2:26" ht="14.4"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2:26" ht="14.4"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2:26" ht="14.4"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2:26" ht="14.4"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2:26" ht="14.4"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2:26" ht="14.4"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2:26" ht="14.4"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2:26" ht="14.4"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2:26" ht="14.4"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2:26" ht="14.4"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2:26" ht="14.4"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2:26" ht="14.4"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2:26" ht="14.4"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2:26" ht="14.4"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2:26" ht="14.4"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2:26" ht="14.4"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2:26" ht="14.4"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2:26" ht="14.4"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2:26" ht="14.4"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2:26" ht="14.4"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2:26" ht="14.4"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2:26" ht="14.4"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2:26" ht="14.4"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2:26" ht="14.4"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2:26" ht="14.4"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2:26" ht="14.4"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2:26" ht="14.4"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2:26" ht="14.4"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2:26" ht="14.4"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2:26" ht="14.4"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2:26" ht="14.4"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2:26" ht="14.4"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2:26" ht="14.4"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2:26" ht="14.4"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2:26" ht="14.4"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2:26" ht="14.4"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2:26" ht="14.4"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2:26" ht="14.4"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2:26" ht="14.4"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2:26" ht="14.4"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2:26" ht="14.4"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2:26" ht="14.4"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2:26" ht="14.4"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2:26" ht="14.4"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2:26" ht="14.4"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2:26" ht="14.4"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2:26" ht="14.4"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2:26" ht="14.4"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2:26" ht="14.4"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2:26" ht="14.4"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2:26" ht="14.4"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2:26" ht="14.4"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2:26" ht="14.4"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2:26" ht="14.4"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2:26" ht="14.4"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2:26" ht="14.4"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2:26" ht="14.4"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2:26" ht="14.4"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2:26" ht="14.4"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2:26" ht="14.4"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2:26" ht="14.4"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2:26" ht="14.4"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2:26" ht="14.4"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2:26" ht="14.4"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2:26" ht="14.4"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2:26" ht="14.4"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2:26" ht="14.4"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2:26" ht="14.4"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2:26" ht="14.4"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2:26" ht="14.4"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2:26" ht="14.4"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2:26" ht="14.4"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2:26" ht="14.4"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2:26" ht="14.4"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2:26" ht="14.4"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2:26" ht="14.4"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2:26" ht="14.4"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2:26" ht="14.4"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2:26" ht="14.4"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2:26" ht="14.4"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2:26" ht="14.4"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2:26" ht="14.4"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2:26" ht="14.4"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2:26" ht="14.4"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2:26" ht="14.4"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2:26" ht="14.4"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2:26" ht="14.4"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2:26" ht="14.4"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2:26" ht="14.4"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2:26" ht="14.4"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2:26" ht="14.4"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2:26" ht="14.4"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2:26" ht="14.4"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2:26" ht="14.4"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2:26" ht="14.4"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2:26" ht="14.4"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2:26" ht="14.4"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2:26" ht="14.4"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2:26" ht="14.4"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2:26" ht="14.4"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2:26" ht="14.4"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2:26" ht="14.4"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2:26" ht="14.4"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2:26" ht="14.4"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2:26" ht="14.4"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2:26" ht="14.4"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2:26" ht="14.4"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2:26" ht="14.4"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2:26" ht="14.4"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2:26" ht="14.4"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2:26" ht="14.4"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2:26" ht="14.4"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2:26" ht="14.4"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2:26" ht="14.4"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2:26" ht="14.4"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2:26" ht="14.4"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2:26" ht="14.4"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2:26" ht="14.4"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2:26" ht="14.4"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2:26" ht="14.4"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2:26" ht="14.4"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2:26" ht="14.4"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2:26" ht="14.4"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2:26" ht="14.4"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2:26" ht="14.4"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2:26" ht="14.4"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2:26" ht="14.4"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2:26" ht="14.4"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2:26" ht="14.4"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2:26" ht="14.4"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2:26" ht="14.4"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2:26" ht="14.4"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2:26" ht="14.4"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2:26" ht="14.4"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2:26" ht="14.4"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2:26" ht="14.4"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2:26" ht="14.4"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2:26" ht="14.4"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2:26" ht="14.4"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2:26" ht="14.4"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2:26" ht="14.4"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2:26" ht="14.4"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2:26" ht="14.4"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2:26" ht="14.4"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2:26" ht="14.4"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2:26" ht="14.4"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2:26" ht="14.4"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2:26" ht="14.4"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2:26" ht="14.4"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2:26" ht="14.4"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2:26" ht="14.4"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2:26" ht="14.4"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2:26" ht="14.4"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2:26" ht="14.4"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2:26" ht="14.4"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2:26" ht="14.4"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2:26" ht="14.4"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2:26" ht="14.4"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2:26" ht="14.4"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2:26" ht="14.4"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2:26" ht="14.4"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2:26" ht="14.4"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2:26" ht="14.4"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2:26" ht="14.4"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2:26" ht="14.4"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2:26" ht="14.4"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2:26" ht="14.4"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2:26" ht="14.4"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2:26" ht="14.4"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2:26" ht="14.4"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2:26" ht="14.4"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2:26" ht="14.4"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2:26" ht="14.4"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2:26" ht="14.4"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2:26" ht="14.4"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2:26" ht="14.4"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2:26" ht="14.4"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2:26" ht="14.4"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2:26" ht="14.4"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2:26" ht="14.4"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2:26" ht="14.4"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2:26" ht="14.4"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2:26" ht="14.4"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2:26" ht="14.4"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2:26" ht="14.4"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2:26" ht="14.4"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2:26" ht="14.4"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2:26" ht="14.4"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2:26" ht="14.4"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2:26" ht="14.4"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2:26" ht="14.4"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2:26" ht="14.4"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2:26" ht="14.4"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2:26" ht="14.4"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2:26" ht="14.4"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2:26" ht="14.4"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2:26" ht="14.4"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2:26" ht="14.4"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2:26" ht="14.4"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2:26" ht="14.4"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2:26" ht="14.4"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2:26" ht="14.4"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2:26" ht="14.4"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2:26" ht="14.4"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2:26" ht="14.4"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2:26" ht="14.4"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2:26" ht="14.4"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2:26" ht="14.4"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2:26" ht="14.4"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2:26" ht="14.4"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2:26" ht="14.4"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2:26" ht="14.4"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2:26" ht="14.4"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2:26" ht="14.4"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2:26" ht="14.4"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2:26" ht="14.4"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2:26" ht="14.4"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2:26" ht="14.4"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2:26" ht="14.4"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2:26" ht="14.4"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2:26" ht="14.4"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2:26" ht="14.4"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2:26" ht="14.4"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2:26" ht="14.4"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2:26" ht="14.4"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2:26" ht="14.4"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2:26" ht="14.4"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2:26" ht="14.4"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2:26" ht="14.4"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2:26" ht="14.4"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2:26" ht="14.4"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2:26" ht="14.4"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2:26" ht="14.4"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2:26" ht="14.4"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2:26" ht="14.4"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2:26" ht="14.4"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2:26" ht="14.4"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2:26" ht="14.4"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2:26" ht="14.4"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2:26" ht="14.4"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2:26" ht="14.4"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2:26" ht="14.4"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2:26" ht="14.4"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2:26" ht="14.4"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2:26" ht="14.4"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2:26" ht="14.4"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2:26" ht="14.4"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2:26" ht="14.4"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2:26" ht="14.4"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2:26" ht="14.4"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2:26" ht="14.4"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2:26" ht="14.4"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2:26" ht="14.4"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2:26" ht="14.4"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2:26" ht="14.4"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2:26" ht="14.4"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2:26" ht="14.4"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2:26" ht="14.4"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2:26" ht="14.4"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2:26" ht="14.4"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2:26" ht="14.4"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2:26" ht="14.4"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2:26" ht="14.4"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2:26" ht="14.4"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2:26" ht="14.4"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2:26" ht="14.4"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2:26" ht="14.4"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2:26" ht="14.4"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2:26" ht="14.4"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2:26" ht="14.4"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2:26" ht="14.4"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2:26" ht="14.4"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2:26" ht="14.4"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2:26" ht="14.4"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2:26" ht="14.4"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2:26" ht="14.4"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2:26" ht="14.4"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2:26" ht="14.4"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2:26" ht="14.4"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2:26" ht="14.4"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2:26" ht="14.4"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2:26" ht="14.4"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2:26" ht="14.4"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2:26" ht="14.4"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2:26" ht="14.4"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2:26" ht="14.4"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2:26" ht="14.4"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2:26" ht="14.4"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2:26" ht="14.4"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2:26" ht="14.4"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2:26" ht="14.4"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2:26" ht="14.4"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2:26" ht="14.4"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2:26" ht="14.4"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2:26" ht="14.4"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2:26" ht="14.4"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2:26" ht="14.4"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2:26" ht="14.4"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2:26" ht="14.4"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2:26" ht="14.4"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2:26" ht="14.4"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2:26" ht="14.4"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2:26" ht="14.4"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2:26" ht="14.4"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2:26" ht="14.4"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2:26" ht="14.4"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2:26" ht="14.4"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2:26" ht="14.4"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2:26" ht="14.4"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2:26" ht="14.4"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2:26" ht="14.4"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2:26" ht="14.4"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2:26" ht="14.4"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2:26" ht="14.4"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2:26" ht="14.4"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2:26" ht="14.4"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2:26" ht="14.4"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2:26" ht="14.4"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2:26" ht="14.4"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2:26" ht="14.4"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2:26" ht="14.4"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2:26" ht="14.4"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2:26" ht="14.4"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2:26" ht="14.4"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2:26" ht="14.4"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2:26" ht="14.4"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2:26" ht="14.4"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2:26" ht="14.4"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2:26" ht="14.4"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2:26" ht="14.4"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2:26" ht="14.4"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2:26" ht="14.4"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2:26" ht="14.4"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2:26" ht="14.4"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2:26" ht="14.4"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2:26" ht="14.4"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2:26" ht="14.4"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2:26" ht="14.4"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2:26" ht="14.4"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2:26" ht="14.4"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2:26" ht="14.4"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2:26" ht="14.4"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2:26" ht="14.4"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2:26" ht="14.4"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2:26" ht="14.4"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2:26" ht="14.4"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2:26" ht="14.4"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2:26" ht="14.4"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2:26" ht="14.4"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2:26" ht="14.4"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2:26" ht="14.4"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2:26" ht="14.4"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2:26" ht="14.4"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2:26" ht="14.4"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2:26" ht="14.4"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2:26" ht="14.4"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2:26" ht="14.4"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2:26" ht="14.4"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2:26" ht="14.4"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2:26" ht="14.4"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2:26" ht="14.4"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2:26" ht="14.4"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2:26" ht="14.4"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2:26" ht="14.4"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2:26" ht="14.4"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2:26" ht="14.4"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2:26" ht="14.4"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2:26" ht="14.4"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2:26" ht="14.4"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2:26" ht="14.4"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2:26" ht="14.4"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2:26" ht="14.4"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2:26" ht="14.4"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2:26" ht="14.4"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2:26" ht="14.4"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2:26" ht="14.4"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2:26" ht="14.4"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2:26" ht="14.4"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2:26" ht="14.4"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2:26" ht="14.4"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2:26" ht="14.4"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2:26" ht="14.4"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2:26" ht="14.4"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2:26" ht="14.4"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2:26" ht="14.4"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2:26" ht="14.4"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2:26" ht="14.4"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2:26" ht="14.4"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2:26" ht="14.4"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2:26" ht="14.4"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2:26" ht="14.4"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2:26" ht="14.4"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2:26" ht="14.4"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2:26" ht="14.4"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2:26" ht="14.4"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2:26" ht="14.4"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2:26" ht="14.4"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2:26" ht="14.4"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2:26" ht="14.4"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2:26" ht="14.4"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2:26" ht="14.4"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2:26" ht="14.4"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2:26" ht="14.4"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2:26" ht="14.4"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2:26" ht="14.4"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2:26" ht="14.4"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2:26" ht="14.4"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2:26" ht="14.4"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2:26" ht="14.4"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2:26" ht="14.4"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2:26" ht="14.4"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2:26" ht="14.4"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2:26" ht="14.4"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2:26" ht="14.4"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2:26" ht="14.4"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2:26" ht="14.4"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2:26" ht="14.4"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2:26" ht="14.4"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2:26" ht="14.4"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2:26" ht="14.4"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2:26" ht="14.4"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2:26" ht="14.4"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2:26" ht="14.4"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2:26" ht="14.4"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2:26" ht="14.4"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2:26" ht="14.4"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2:26" ht="14.4"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2:26" ht="14.4"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2:26" ht="14.4"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2:26" ht="14.4"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2:26" ht="14.4"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2:26" ht="14.4"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2:26" ht="14.4"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2:26" ht="14.4"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2:26" ht="14.4"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2:26" ht="14.4"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2:26" ht="14.4"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2:26" ht="14.4"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2:26" ht="14.4"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2:26" ht="14.4"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2:26" ht="14.4"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2:26" ht="14.4"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2:26" ht="14.4"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2:26" ht="14.4"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2:26" ht="14.4"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2:26" ht="14.4"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2:26" ht="14.4"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2:26" ht="14.4"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2:26" ht="14.4"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2:26" ht="14.4"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2:26" ht="14.4"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2:26" ht="14.4"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2:26" ht="14.4"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2:26" ht="14.4"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2:26" ht="14.4"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2:26" ht="14.4"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2:26" ht="14.4"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2:26" ht="14.4"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2:26" ht="14.4"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2:26" ht="14.4"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2:26" ht="14.4"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2:26" ht="14.4"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2:26" ht="14.4"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2:26" ht="14.4"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2:26" ht="14.4"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2:26" ht="14.4"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2:26" ht="14.4"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2:26" ht="14.4"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2:26" ht="14.4"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2:26" ht="14.4"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2:26" ht="14.4"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2:26" ht="14.4"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2:26" ht="14.4"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2:26" ht="14.4"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2:26" ht="14.4"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2:26" ht="14.4"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2:26" ht="14.4"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2:26" ht="14.4"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2:26" ht="14.4"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2:26" ht="14.4"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2:26" ht="14.4"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2:26" ht="14.4"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2:26" ht="14.4"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2:26" ht="14.4"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2:26" ht="14.4"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2:26" ht="14.4"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2:26" ht="14.4"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2:26" ht="14.4"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2:26" ht="14.4"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2:26" ht="14.4"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2:26" ht="14.4"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2:26" ht="14.4"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2:26" ht="14.4"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2:26" ht="14.4"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2:26" ht="14.4"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2:26" ht="14.4"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2:26" ht="14.4"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2:26" ht="14.4"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2:26" ht="14.4"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2:26" ht="14.4"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2:26" ht="14.4"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2:26" ht="14.4"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2:26" ht="14.4"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2:26" ht="14.4"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2:26" ht="14.4"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2:26" ht="14.4"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2:26" ht="14.4"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2:26" ht="14.4"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2:26" ht="14.4"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2:26" ht="14.4"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2:26" ht="14.4"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2:26" ht="14.4"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2:26" ht="14.4"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2:26" ht="14.4"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2:26" ht="14.4"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2:26" ht="14.4"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2:26" ht="14.4"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2:26" ht="14.4"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2:26" ht="14.4"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2:26" ht="14.4"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2:26" ht="14.4"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2:26" ht="14.4"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2:26" ht="14.4"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2:26" ht="14.4"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2:26" ht="14.4"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2:26" ht="14.4"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2:26" ht="14.4"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2:26" ht="14.4"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2:26" ht="14.4"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2:26" ht="14.4"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2:26" ht="14.4"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2:26" ht="14.4"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2:26" ht="14.4"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2:26" ht="14.4"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2:26" ht="14.4"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2:26" ht="14.4"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2:26" ht="14.4"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2:26" ht="14.4"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2:26" ht="14.4"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2:26" ht="14.4"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2:26" ht="14.4"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2:26" ht="14.4"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2:26" ht="14.4"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2:26" ht="14.4"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2:26" ht="14.4"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2:26" ht="14.4"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2:26" ht="14.4"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2:26" ht="14.4"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2:26" ht="14.4"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2:26" ht="14.4"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2:26" ht="14.4"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2:26" ht="14.4"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2:26" ht="14.4"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2:26" ht="14.4"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2:26" ht="14.4"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2:26" ht="14.4"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2:26" ht="14.4"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2:26" ht="14.4"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2:26" ht="14.4"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2:26" ht="14.4"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2:26" ht="14.4"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2:26" ht="14.4"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2:26" ht="14.4"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2:26" ht="14.4"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2:26" ht="14.4"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2:26" ht="14.4"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2:26" ht="14.4"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2:26" ht="14.4"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2:26" ht="14.4"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 spans="2:26" ht="14.4"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</sheetData>
  <mergeCells count="11">
    <mergeCell ref="Q27:T27"/>
    <mergeCell ref="J84:O84"/>
    <mergeCell ref="B27:G27"/>
    <mergeCell ref="B1:G1"/>
    <mergeCell ref="B4:G4"/>
    <mergeCell ref="B53:G53"/>
    <mergeCell ref="B84:G84"/>
    <mergeCell ref="J27:N27"/>
    <mergeCell ref="J53:N53"/>
    <mergeCell ref="Q53:T53"/>
    <mergeCell ref="Q84:T84"/>
  </mergeCells>
  <pageMargins left="0.25" right="0.25" top="0.75" bottom="0.75" header="0.3" footer="0.3"/>
  <pageSetup paperSize="9" scale="3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068F-A330-45AD-9BE6-AE807F226F7D}">
  <sheetPr>
    <outlinePr summaryBelow="0" summaryRight="0"/>
  </sheetPr>
  <dimension ref="A1:T53"/>
  <sheetViews>
    <sheetView topLeftCell="O1" zoomScale="70" zoomScaleNormal="70" workbookViewId="0">
      <selection activeCell="T32" sqref="T32"/>
    </sheetView>
  </sheetViews>
  <sheetFormatPr defaultColWidth="12.6640625" defaultRowHeight="15" customHeight="1"/>
  <cols>
    <col min="1" max="1" width="11.109375" style="256" hidden="1" customWidth="1"/>
    <col min="2" max="2" width="48.44140625" style="256" hidden="1" customWidth="1"/>
    <col min="3" max="3" width="11.109375" style="256" hidden="1" customWidth="1"/>
    <col min="4" max="4" width="12" style="256" hidden="1" customWidth="1"/>
    <col min="5" max="8" width="11.109375" style="256" hidden="1" customWidth="1"/>
    <col min="9" max="9" width="27.44140625" style="256" hidden="1" customWidth="1"/>
    <col min="10" max="14" width="11.109375" style="256" hidden="1" customWidth="1"/>
    <col min="15" max="15" width="11.109375" style="256" customWidth="1"/>
    <col min="16" max="16" width="43" style="258" customWidth="1"/>
    <col min="17" max="20" width="11.109375" style="258" customWidth="1"/>
    <col min="21" max="21" width="11.109375" style="256" customWidth="1"/>
    <col min="22" max="16384" width="12.6640625" style="256"/>
  </cols>
  <sheetData>
    <row r="1" spans="2:20" ht="15.6">
      <c r="C1" s="257"/>
      <c r="D1" s="257"/>
      <c r="E1" s="257"/>
      <c r="F1" s="257"/>
      <c r="G1" s="257"/>
      <c r="P1" s="593" t="s">
        <v>718</v>
      </c>
      <c r="Q1" s="593"/>
      <c r="R1" s="593"/>
      <c r="S1" s="593"/>
      <c r="T1" s="593"/>
    </row>
    <row r="2" spans="2:20" ht="14.4">
      <c r="B2" s="257"/>
      <c r="P2" s="259"/>
      <c r="Q2" s="260"/>
      <c r="R2" s="260"/>
      <c r="S2" s="260"/>
      <c r="T2" s="260"/>
    </row>
    <row r="3" spans="2:20" ht="18">
      <c r="B3" s="261"/>
      <c r="C3" s="262"/>
      <c r="D3" s="262"/>
      <c r="E3" s="262"/>
      <c r="F3" s="262"/>
      <c r="G3" s="262"/>
      <c r="P3" s="263" t="s">
        <v>609</v>
      </c>
      <c r="Q3" s="263"/>
      <c r="R3" s="263"/>
      <c r="S3" s="263"/>
      <c r="T3" s="263"/>
    </row>
    <row r="4" spans="2:20" ht="18">
      <c r="B4" s="594" t="s">
        <v>547</v>
      </c>
      <c r="C4" s="595"/>
      <c r="D4" s="595"/>
      <c r="E4" s="595"/>
      <c r="F4" s="596"/>
      <c r="G4" s="264"/>
      <c r="I4" s="594" t="s">
        <v>464</v>
      </c>
      <c r="J4" s="595"/>
      <c r="K4" s="595"/>
      <c r="L4" s="595"/>
      <c r="M4" s="595"/>
      <c r="N4" s="265"/>
      <c r="P4" s="597" t="s">
        <v>606</v>
      </c>
      <c r="Q4" s="598"/>
      <c r="R4" s="598"/>
      <c r="S4" s="598"/>
      <c r="T4" s="598"/>
    </row>
    <row r="5" spans="2:20" ht="15.6">
      <c r="B5" s="266"/>
      <c r="C5" s="267">
        <v>2020</v>
      </c>
      <c r="D5" s="267">
        <v>2021</v>
      </c>
      <c r="E5" s="267">
        <v>2022</v>
      </c>
      <c r="F5" s="267">
        <v>2023</v>
      </c>
      <c r="G5" s="267">
        <v>2024</v>
      </c>
      <c r="I5" s="266"/>
      <c r="J5" s="268">
        <v>2020</v>
      </c>
      <c r="K5" s="268">
        <v>2021</v>
      </c>
      <c r="L5" s="268">
        <v>2022</v>
      </c>
      <c r="M5" s="269">
        <v>2023</v>
      </c>
      <c r="N5" s="270">
        <v>2024</v>
      </c>
      <c r="P5" s="271"/>
      <c r="Q5" s="272">
        <v>2021</v>
      </c>
      <c r="R5" s="272">
        <v>20222</v>
      </c>
      <c r="S5" s="272">
        <v>2023</v>
      </c>
      <c r="T5" s="272">
        <v>2024</v>
      </c>
    </row>
    <row r="6" spans="2:20" ht="14.4">
      <c r="B6" s="266" t="s">
        <v>513</v>
      </c>
      <c r="C6" s="266"/>
      <c r="D6" s="266"/>
      <c r="E6" s="266"/>
      <c r="F6" s="266"/>
      <c r="G6" s="266"/>
      <c r="I6" s="273" t="s">
        <v>465</v>
      </c>
      <c r="J6" s="266"/>
      <c r="K6" s="266"/>
      <c r="L6" s="266"/>
      <c r="M6" s="274"/>
      <c r="N6" s="275"/>
      <c r="P6" s="271" t="s">
        <v>513</v>
      </c>
      <c r="Q6" s="271"/>
      <c r="R6" s="271"/>
      <c r="S6" s="271"/>
      <c r="T6" s="271"/>
    </row>
    <row r="7" spans="2:20" ht="15" customHeight="1">
      <c r="B7" s="276" t="s">
        <v>548</v>
      </c>
      <c r="C7" s="277">
        <v>10560719</v>
      </c>
      <c r="D7" s="277">
        <v>9241787</v>
      </c>
      <c r="E7" s="277">
        <v>12660706</v>
      </c>
      <c r="F7" s="277">
        <v>14473142</v>
      </c>
      <c r="G7" s="277">
        <v>14950204</v>
      </c>
      <c r="I7" s="278" t="s">
        <v>466</v>
      </c>
      <c r="J7" s="279"/>
      <c r="K7" s="279"/>
      <c r="L7" s="279"/>
      <c r="M7" s="280"/>
      <c r="N7" s="281"/>
      <c r="P7" s="282" t="s">
        <v>719</v>
      </c>
      <c r="Q7" s="283">
        <f>D21</f>
        <v>304750</v>
      </c>
      <c r="R7" s="283">
        <f t="shared" ref="R7:T7" si="0">E21</f>
        <v>513808</v>
      </c>
      <c r="S7" s="283">
        <f t="shared" si="0"/>
        <v>776780</v>
      </c>
      <c r="T7" s="283">
        <f t="shared" si="0"/>
        <v>672289</v>
      </c>
    </row>
    <row r="8" spans="2:20" ht="15" customHeight="1">
      <c r="B8" s="284" t="s">
        <v>549</v>
      </c>
      <c r="C8" s="285">
        <v>10560719</v>
      </c>
      <c r="D8" s="285">
        <v>9241787</v>
      </c>
      <c r="E8" s="285">
        <v>12660706</v>
      </c>
      <c r="F8" s="285">
        <v>14473142</v>
      </c>
      <c r="G8" s="285">
        <v>14950204</v>
      </c>
      <c r="I8" s="286" t="s">
        <v>467</v>
      </c>
      <c r="J8" s="287"/>
      <c r="K8" s="288"/>
      <c r="L8" s="288"/>
      <c r="M8" s="289"/>
      <c r="N8" s="290"/>
      <c r="P8" s="282" t="s">
        <v>720</v>
      </c>
      <c r="Q8" s="283">
        <f t="shared" ref="Q8:T8" si="1">-D11</f>
        <v>342652</v>
      </c>
      <c r="R8" s="283">
        <f t="shared" si="1"/>
        <v>584234</v>
      </c>
      <c r="S8" s="283">
        <f t="shared" si="1"/>
        <v>352969</v>
      </c>
      <c r="T8" s="283">
        <f t="shared" si="1"/>
        <v>406658</v>
      </c>
    </row>
    <row r="9" spans="2:20" ht="15" customHeight="1">
      <c r="B9" s="276" t="s">
        <v>550</v>
      </c>
      <c r="C9" s="277">
        <v>-5324267</v>
      </c>
      <c r="D9" s="277">
        <v>-4922052</v>
      </c>
      <c r="E9" s="277">
        <v>-6273959</v>
      </c>
      <c r="F9" s="277">
        <v>-7792575</v>
      </c>
      <c r="G9" s="277">
        <v>-6960697</v>
      </c>
      <c r="I9" s="291" t="s">
        <v>468</v>
      </c>
      <c r="J9" s="292">
        <v>22091</v>
      </c>
      <c r="K9" s="292">
        <v>24644</v>
      </c>
      <c r="L9" s="292">
        <v>23054</v>
      </c>
      <c r="M9" s="292">
        <v>30220</v>
      </c>
      <c r="N9" s="293">
        <v>31737</v>
      </c>
      <c r="O9" s="257" t="s">
        <v>463</v>
      </c>
      <c r="P9" s="282" t="s">
        <v>721</v>
      </c>
      <c r="Q9" s="294"/>
      <c r="R9" s="294"/>
      <c r="S9" s="294"/>
      <c r="T9" s="294"/>
    </row>
    <row r="10" spans="2:20" ht="15" customHeight="1">
      <c r="B10" s="276" t="s">
        <v>551</v>
      </c>
      <c r="C10" s="277">
        <v>-4534698</v>
      </c>
      <c r="D10" s="277">
        <v>-3430217</v>
      </c>
      <c r="E10" s="277">
        <v>-4913467</v>
      </c>
      <c r="F10" s="277">
        <v>-5071866</v>
      </c>
      <c r="G10" s="277">
        <v>-6476440</v>
      </c>
      <c r="I10" s="295" t="s">
        <v>469</v>
      </c>
      <c r="J10" s="292">
        <v>2059</v>
      </c>
      <c r="K10" s="292">
        <v>1625</v>
      </c>
      <c r="L10" s="292">
        <v>1190</v>
      </c>
      <c r="M10" s="292">
        <v>755</v>
      </c>
      <c r="N10" s="293">
        <v>320</v>
      </c>
      <c r="O10" s="257" t="s">
        <v>463</v>
      </c>
      <c r="P10" s="296" t="s">
        <v>722</v>
      </c>
      <c r="Q10" s="283">
        <f t="shared" ref="Q10:T11" si="2">-(K18-J18)</f>
        <v>177381</v>
      </c>
      <c r="R10" s="283">
        <f t="shared" si="2"/>
        <v>-1936259</v>
      </c>
      <c r="S10" s="283">
        <f t="shared" si="2"/>
        <v>375055</v>
      </c>
      <c r="T10" s="283">
        <f t="shared" si="2"/>
        <v>-1287118</v>
      </c>
    </row>
    <row r="11" spans="2:20" ht="15" customHeight="1">
      <c r="B11" s="276" t="s">
        <v>552</v>
      </c>
      <c r="C11" s="277">
        <v>-393099</v>
      </c>
      <c r="D11" s="277">
        <v>-342652</v>
      </c>
      <c r="E11" s="277">
        <v>-584234</v>
      </c>
      <c r="F11" s="277">
        <v>-352969</v>
      </c>
      <c r="G11" s="277">
        <v>-406658</v>
      </c>
      <c r="H11" s="257" t="s">
        <v>463</v>
      </c>
      <c r="I11" s="291" t="s">
        <v>470</v>
      </c>
      <c r="J11" s="292">
        <v>388159</v>
      </c>
      <c r="K11" s="292">
        <v>322360</v>
      </c>
      <c r="L11" s="292">
        <v>470059</v>
      </c>
      <c r="M11" s="292">
        <v>1110049</v>
      </c>
      <c r="N11" s="293">
        <v>915927</v>
      </c>
      <c r="O11" s="257" t="s">
        <v>463</v>
      </c>
      <c r="P11" s="296" t="s">
        <v>723</v>
      </c>
      <c r="Q11" s="283">
        <f t="shared" si="2"/>
        <v>-640807</v>
      </c>
      <c r="R11" s="283">
        <f t="shared" si="2"/>
        <v>-268219</v>
      </c>
      <c r="S11" s="283">
        <f t="shared" si="2"/>
        <v>-738763</v>
      </c>
      <c r="T11" s="283">
        <f t="shared" si="2"/>
        <v>-70619</v>
      </c>
    </row>
    <row r="12" spans="2:20" ht="15" customHeight="1">
      <c r="B12" s="284" t="s">
        <v>553</v>
      </c>
      <c r="C12" s="285">
        <v>-10252064</v>
      </c>
      <c r="D12" s="285">
        <v>-8694921</v>
      </c>
      <c r="E12" s="285">
        <v>-11771660</v>
      </c>
      <c r="F12" s="285">
        <v>-13217410</v>
      </c>
      <c r="G12" s="285">
        <v>-13843795</v>
      </c>
      <c r="I12" s="291" t="s">
        <v>471</v>
      </c>
      <c r="J12" s="292">
        <v>115120</v>
      </c>
      <c r="K12" s="292">
        <v>164109</v>
      </c>
      <c r="L12" s="292">
        <v>292008</v>
      </c>
      <c r="M12" s="292">
        <v>341765</v>
      </c>
      <c r="N12" s="293">
        <v>598899</v>
      </c>
      <c r="O12" s="257" t="s">
        <v>463</v>
      </c>
      <c r="P12" s="296" t="s">
        <v>724</v>
      </c>
      <c r="Q12" s="283">
        <f t="shared" ref="Q12:T12" si="3">-(K21-J21)</f>
        <v>31256</v>
      </c>
      <c r="R12" s="283">
        <f t="shared" si="3"/>
        <v>746212</v>
      </c>
      <c r="S12" s="283">
        <f t="shared" si="3"/>
        <v>-823710</v>
      </c>
      <c r="T12" s="283">
        <f t="shared" si="3"/>
        <v>320814</v>
      </c>
    </row>
    <row r="13" spans="2:20" ht="15" customHeight="1">
      <c r="B13" s="284" t="s">
        <v>554</v>
      </c>
      <c r="C13" s="285">
        <v>308655</v>
      </c>
      <c r="D13" s="285">
        <v>546866</v>
      </c>
      <c r="E13" s="285">
        <v>889046</v>
      </c>
      <c r="F13" s="285">
        <v>1255732</v>
      </c>
      <c r="G13" s="285">
        <v>1106409</v>
      </c>
      <c r="I13" s="291" t="s">
        <v>472</v>
      </c>
      <c r="J13" s="292">
        <v>50270</v>
      </c>
      <c r="K13" s="292">
        <v>50270</v>
      </c>
      <c r="L13" s="292">
        <v>50270</v>
      </c>
      <c r="M13" s="292">
        <v>50270</v>
      </c>
      <c r="N13" s="293">
        <v>50270</v>
      </c>
      <c r="O13" s="257" t="s">
        <v>463</v>
      </c>
      <c r="P13" s="296" t="s">
        <v>725</v>
      </c>
      <c r="Q13" s="283">
        <f t="shared" ref="Q13:T13" si="4">K46-J46</f>
        <v>-24329</v>
      </c>
      <c r="R13" s="283">
        <f t="shared" si="4"/>
        <v>746745</v>
      </c>
      <c r="S13" s="283">
        <f t="shared" si="4"/>
        <v>74011</v>
      </c>
      <c r="T13" s="283">
        <f t="shared" si="4"/>
        <v>-584804</v>
      </c>
    </row>
    <row r="14" spans="2:20" ht="14.4">
      <c r="B14" s="276" t="s">
        <v>555</v>
      </c>
      <c r="C14" s="277">
        <v>584</v>
      </c>
      <c r="D14" s="277">
        <v>291</v>
      </c>
      <c r="E14" s="277">
        <v>258</v>
      </c>
      <c r="F14" s="277">
        <v>333</v>
      </c>
      <c r="G14" s="277">
        <v>74265</v>
      </c>
      <c r="I14" s="291" t="s">
        <v>473</v>
      </c>
      <c r="J14" s="292">
        <v>0</v>
      </c>
      <c r="K14" s="292">
        <v>0</v>
      </c>
      <c r="L14" s="292">
        <v>0</v>
      </c>
      <c r="M14" s="292">
        <v>0</v>
      </c>
      <c r="N14" s="293">
        <v>0</v>
      </c>
      <c r="O14" s="257" t="s">
        <v>463</v>
      </c>
      <c r="P14" s="294"/>
      <c r="Q14" s="294"/>
      <c r="R14" s="294"/>
      <c r="S14" s="294"/>
      <c r="T14" s="294"/>
    </row>
    <row r="15" spans="2:20" ht="14.4">
      <c r="B15" s="276" t="s">
        <v>556</v>
      </c>
      <c r="C15" s="277">
        <v>-191809</v>
      </c>
      <c r="D15" s="277">
        <v>-166922</v>
      </c>
      <c r="E15" s="277">
        <v>-173690</v>
      </c>
      <c r="F15" s="277">
        <v>-240050</v>
      </c>
      <c r="G15" s="277">
        <v>-382279</v>
      </c>
      <c r="I15" s="291" t="s">
        <v>474</v>
      </c>
      <c r="J15" s="292">
        <v>0</v>
      </c>
      <c r="K15" s="292">
        <v>0</v>
      </c>
      <c r="L15" s="292">
        <v>0</v>
      </c>
      <c r="M15" s="292">
        <v>0</v>
      </c>
      <c r="N15" s="293">
        <v>0</v>
      </c>
      <c r="O15" s="257" t="s">
        <v>463</v>
      </c>
      <c r="P15" s="296" t="s">
        <v>726</v>
      </c>
      <c r="Q15" s="283">
        <f t="shared" ref="Q15:T16" si="5">K48-J48</f>
        <v>17706</v>
      </c>
      <c r="R15" s="283">
        <f t="shared" si="5"/>
        <v>112101</v>
      </c>
      <c r="S15" s="283">
        <f t="shared" si="5"/>
        <v>-79920</v>
      </c>
      <c r="T15" s="283">
        <f t="shared" si="5"/>
        <v>29474</v>
      </c>
    </row>
    <row r="16" spans="2:20" ht="14.4">
      <c r="B16" s="276" t="s">
        <v>557</v>
      </c>
      <c r="C16" s="277">
        <v>-119</v>
      </c>
      <c r="D16" s="277">
        <v>-62</v>
      </c>
      <c r="E16" s="277">
        <v>-33</v>
      </c>
      <c r="F16" s="277">
        <v>-14</v>
      </c>
      <c r="G16" s="277">
        <v>-46</v>
      </c>
      <c r="I16" s="297" t="s">
        <v>475</v>
      </c>
      <c r="J16" s="298">
        <v>577699</v>
      </c>
      <c r="K16" s="298">
        <v>563008</v>
      </c>
      <c r="L16" s="298">
        <v>836581</v>
      </c>
      <c r="M16" s="298">
        <v>1533059</v>
      </c>
      <c r="N16" s="299">
        <v>1597153</v>
      </c>
      <c r="P16" s="296" t="s">
        <v>727</v>
      </c>
      <c r="Q16" s="283">
        <f t="shared" si="5"/>
        <v>16482</v>
      </c>
      <c r="R16" s="283">
        <f t="shared" si="5"/>
        <v>138986</v>
      </c>
      <c r="S16" s="283">
        <f t="shared" si="5"/>
        <v>179426</v>
      </c>
      <c r="T16" s="283">
        <f t="shared" si="5"/>
        <v>94321</v>
      </c>
    </row>
    <row r="17" spans="2:20" ht="14.4">
      <c r="B17" s="284" t="s">
        <v>558</v>
      </c>
      <c r="C17" s="285">
        <v>-191344</v>
      </c>
      <c r="D17" s="285">
        <v>-166693</v>
      </c>
      <c r="E17" s="285">
        <v>-173465</v>
      </c>
      <c r="F17" s="285">
        <v>-239731</v>
      </c>
      <c r="G17" s="285">
        <v>-308060</v>
      </c>
      <c r="I17" s="286" t="s">
        <v>476</v>
      </c>
      <c r="J17" s="300"/>
      <c r="K17" s="300"/>
      <c r="L17" s="300"/>
      <c r="M17" s="300"/>
      <c r="N17" s="301"/>
      <c r="P17" s="302" t="s">
        <v>728</v>
      </c>
      <c r="Q17" s="303">
        <f t="shared" ref="Q17:T17" si="6">SUM(Q7:Q16)</f>
        <v>225091</v>
      </c>
      <c r="R17" s="303">
        <f t="shared" si="6"/>
        <v>637608</v>
      </c>
      <c r="S17" s="303">
        <f t="shared" si="6"/>
        <v>115848</v>
      </c>
      <c r="T17" s="303">
        <f t="shared" si="6"/>
        <v>-418985</v>
      </c>
    </row>
    <row r="18" spans="2:20" ht="14.4">
      <c r="B18" s="304" t="s">
        <v>559</v>
      </c>
      <c r="C18" s="285">
        <v>-89095</v>
      </c>
      <c r="D18" s="285">
        <v>0</v>
      </c>
      <c r="E18" s="285">
        <v>0</v>
      </c>
      <c r="F18" s="285">
        <v>0</v>
      </c>
      <c r="G18" s="285">
        <v>0</v>
      </c>
      <c r="I18" s="291" t="s">
        <v>477</v>
      </c>
      <c r="J18" s="292">
        <v>3697489</v>
      </c>
      <c r="K18" s="292">
        <v>3520108</v>
      </c>
      <c r="L18" s="292">
        <v>5456367</v>
      </c>
      <c r="M18" s="292">
        <v>5081312</v>
      </c>
      <c r="N18" s="293">
        <v>6368430</v>
      </c>
      <c r="O18" s="257" t="s">
        <v>463</v>
      </c>
      <c r="P18" s="294"/>
      <c r="Q18" s="294"/>
      <c r="R18" s="294"/>
      <c r="S18" s="294"/>
      <c r="T18" s="294"/>
    </row>
    <row r="19" spans="2:20" ht="14.4">
      <c r="B19" s="284" t="s">
        <v>560</v>
      </c>
      <c r="C19" s="285">
        <v>28216</v>
      </c>
      <c r="D19" s="285">
        <v>380173</v>
      </c>
      <c r="E19" s="285">
        <v>715581</v>
      </c>
      <c r="F19" s="285">
        <v>1016001</v>
      </c>
      <c r="G19" s="285">
        <v>798349</v>
      </c>
      <c r="I19" s="295" t="s">
        <v>478</v>
      </c>
      <c r="J19" s="292">
        <v>1244471</v>
      </c>
      <c r="K19" s="292">
        <v>1885278</v>
      </c>
      <c r="L19" s="292">
        <v>2153497</v>
      </c>
      <c r="M19" s="292">
        <v>2892260</v>
      </c>
      <c r="N19" s="293">
        <v>2962879</v>
      </c>
      <c r="O19" s="257" t="s">
        <v>463</v>
      </c>
      <c r="P19" s="282" t="s">
        <v>729</v>
      </c>
      <c r="Q19" s="283">
        <f t="shared" ref="Q19:T19" si="7">-((K12-D11)-(J12-C11))</f>
        <v>1458</v>
      </c>
      <c r="R19" s="283">
        <f t="shared" si="7"/>
        <v>-369481</v>
      </c>
      <c r="S19" s="283">
        <f t="shared" si="7"/>
        <v>181508</v>
      </c>
      <c r="T19" s="283">
        <f t="shared" si="7"/>
        <v>-310823</v>
      </c>
    </row>
    <row r="20" spans="2:20" ht="14.4">
      <c r="B20" s="276" t="s">
        <v>561</v>
      </c>
      <c r="C20" s="277">
        <v>-8512</v>
      </c>
      <c r="D20" s="277">
        <v>-75423</v>
      </c>
      <c r="E20" s="277">
        <v>-201773</v>
      </c>
      <c r="F20" s="277">
        <v>-239221</v>
      </c>
      <c r="G20" s="277">
        <v>-126060</v>
      </c>
      <c r="I20" s="291" t="s">
        <v>479</v>
      </c>
      <c r="J20" s="292">
        <v>4873</v>
      </c>
      <c r="K20" s="292">
        <v>6128</v>
      </c>
      <c r="L20" s="292">
        <v>9204</v>
      </c>
      <c r="M20" s="292">
        <v>16924</v>
      </c>
      <c r="N20" s="293">
        <v>29539</v>
      </c>
      <c r="P20" s="282" t="s">
        <v>730</v>
      </c>
      <c r="Q20" s="283">
        <f t="shared" ref="Q20:T20" si="8">-(K13-J13+K15-J15)</f>
        <v>0</v>
      </c>
      <c r="R20" s="283">
        <f t="shared" si="8"/>
        <v>0</v>
      </c>
      <c r="S20" s="283">
        <f t="shared" si="8"/>
        <v>0</v>
      </c>
      <c r="T20" s="283">
        <f t="shared" si="8"/>
        <v>0</v>
      </c>
    </row>
    <row r="21" spans="2:20" ht="14.4">
      <c r="B21" s="284" t="s">
        <v>562</v>
      </c>
      <c r="C21" s="285">
        <v>19704</v>
      </c>
      <c r="D21" s="285">
        <v>304750</v>
      </c>
      <c r="E21" s="285">
        <v>513808</v>
      </c>
      <c r="F21" s="285">
        <v>776780</v>
      </c>
      <c r="G21" s="285">
        <v>672289</v>
      </c>
      <c r="H21" s="257" t="s">
        <v>463</v>
      </c>
      <c r="I21" s="291" t="s">
        <v>480</v>
      </c>
      <c r="J21" s="292">
        <v>1307301</v>
      </c>
      <c r="K21" s="292">
        <v>1276045</v>
      </c>
      <c r="L21" s="292">
        <v>529833</v>
      </c>
      <c r="M21" s="292">
        <v>1353543</v>
      </c>
      <c r="N21" s="293">
        <v>1032729</v>
      </c>
      <c r="O21" s="257" t="s">
        <v>463</v>
      </c>
      <c r="P21" s="282" t="s">
        <v>731</v>
      </c>
      <c r="Q21" s="283">
        <f t="shared" ref="Q21:T21" si="9">-(K9-J9+K10-J10+K11-J11+K14-J14)</f>
        <v>63680</v>
      </c>
      <c r="R21" s="283">
        <f t="shared" si="9"/>
        <v>-145674</v>
      </c>
      <c r="S21" s="283">
        <f t="shared" si="9"/>
        <v>-646721</v>
      </c>
      <c r="T21" s="283">
        <f t="shared" si="9"/>
        <v>193040</v>
      </c>
    </row>
    <row r="22" spans="2:20" ht="14.4">
      <c r="B22" s="261"/>
      <c r="C22" s="262"/>
      <c r="D22" s="262"/>
      <c r="E22" s="262"/>
      <c r="F22" s="262"/>
      <c r="G22" s="262"/>
      <c r="I22" s="297" t="s">
        <v>481</v>
      </c>
      <c r="J22" s="298">
        <v>6254134</v>
      </c>
      <c r="K22" s="298">
        <v>6687559</v>
      </c>
      <c r="L22" s="298">
        <v>8148901</v>
      </c>
      <c r="M22" s="298">
        <v>9344039</v>
      </c>
      <c r="N22" s="299">
        <v>10393577</v>
      </c>
      <c r="P22" s="302" t="s">
        <v>732</v>
      </c>
      <c r="Q22" s="303">
        <f t="shared" ref="Q22:T22" si="10">SUM(Q19:Q21)</f>
        <v>65138</v>
      </c>
      <c r="R22" s="303">
        <f t="shared" si="10"/>
        <v>-515155</v>
      </c>
      <c r="S22" s="303">
        <f t="shared" si="10"/>
        <v>-465213</v>
      </c>
      <c r="T22" s="303">
        <f t="shared" si="10"/>
        <v>-117783</v>
      </c>
    </row>
    <row r="23" spans="2:20" ht="14.4">
      <c r="I23" s="286" t="s">
        <v>482</v>
      </c>
      <c r="J23" s="305"/>
      <c r="K23" s="305"/>
      <c r="L23" s="305"/>
      <c r="M23" s="305"/>
      <c r="N23" s="306"/>
      <c r="P23" s="294"/>
      <c r="Q23" s="294"/>
      <c r="R23" s="294"/>
      <c r="S23" s="294"/>
      <c r="T23" s="294"/>
    </row>
    <row r="24" spans="2:20" ht="14.4">
      <c r="B24" s="257"/>
      <c r="I24" s="297" t="s">
        <v>483</v>
      </c>
      <c r="J24" s="298">
        <v>6831833</v>
      </c>
      <c r="K24" s="298">
        <v>7250567</v>
      </c>
      <c r="L24" s="298">
        <v>8985482</v>
      </c>
      <c r="M24" s="298">
        <v>10877098</v>
      </c>
      <c r="N24" s="299">
        <v>11990730</v>
      </c>
      <c r="P24" s="282" t="s">
        <v>733</v>
      </c>
      <c r="Q24" s="283">
        <f t="shared" ref="Q24:T24" si="11">K42-J42</f>
        <v>623157</v>
      </c>
      <c r="R24" s="283">
        <f t="shared" si="11"/>
        <v>724080</v>
      </c>
      <c r="S24" s="283">
        <f t="shared" si="11"/>
        <v>1168222</v>
      </c>
      <c r="T24" s="283">
        <f t="shared" si="11"/>
        <v>-239578</v>
      </c>
    </row>
    <row r="25" spans="2:20" ht="14.4">
      <c r="B25" s="257"/>
      <c r="I25" s="297"/>
      <c r="J25" s="298"/>
      <c r="K25" s="298"/>
      <c r="L25" s="298"/>
      <c r="M25" s="298"/>
      <c r="N25" s="299"/>
      <c r="P25" s="296" t="s">
        <v>734</v>
      </c>
      <c r="Q25" s="283">
        <f t="shared" ref="Q25:T25" si="12">K47-J47</f>
        <v>-546049</v>
      </c>
      <c r="R25" s="283">
        <f t="shared" si="12"/>
        <v>766130</v>
      </c>
      <c r="S25" s="283">
        <f t="shared" si="12"/>
        <v>-280686</v>
      </c>
      <c r="T25" s="283">
        <f t="shared" si="12"/>
        <v>1173788</v>
      </c>
    </row>
    <row r="26" spans="2:20" ht="14.4">
      <c r="B26" s="257"/>
      <c r="I26" s="307" t="s">
        <v>484</v>
      </c>
      <c r="J26" s="308"/>
      <c r="K26" s="308"/>
      <c r="L26" s="308"/>
      <c r="M26" s="308"/>
      <c r="N26" s="309"/>
      <c r="P26" s="282" t="s">
        <v>735</v>
      </c>
      <c r="Q26" s="283">
        <f t="shared" ref="Q26:T26" si="13">K43-J43+K41-J41+K40-J40+K39-J39</f>
        <v>27014</v>
      </c>
      <c r="R26" s="283">
        <f t="shared" si="13"/>
        <v>-1266933</v>
      </c>
      <c r="S26" s="283">
        <f t="shared" si="13"/>
        <v>53781</v>
      </c>
      <c r="T26" s="283">
        <f t="shared" si="13"/>
        <v>-31856</v>
      </c>
    </row>
    <row r="27" spans="2:20" ht="14.4">
      <c r="I27" s="307" t="s">
        <v>485</v>
      </c>
      <c r="J27" s="308"/>
      <c r="K27" s="308"/>
      <c r="L27" s="308"/>
      <c r="M27" s="308"/>
      <c r="N27" s="309"/>
      <c r="P27" s="282" t="s">
        <v>736</v>
      </c>
      <c r="Q27" s="283">
        <f t="shared" ref="Q27:T27" si="14">K28-J28</f>
        <v>0</v>
      </c>
      <c r="R27" s="283">
        <f t="shared" si="14"/>
        <v>0</v>
      </c>
      <c r="S27" s="283">
        <f t="shared" si="14"/>
        <v>0</v>
      </c>
      <c r="T27" s="283">
        <f t="shared" si="14"/>
        <v>0</v>
      </c>
    </row>
    <row r="28" spans="2:20" ht="14.4">
      <c r="I28" s="295" t="s">
        <v>486</v>
      </c>
      <c r="J28" s="310">
        <v>100000</v>
      </c>
      <c r="K28" s="310">
        <v>100000</v>
      </c>
      <c r="L28" s="310">
        <v>100000</v>
      </c>
      <c r="M28" s="310">
        <v>100000</v>
      </c>
      <c r="N28" s="311">
        <v>100000</v>
      </c>
      <c r="O28" s="257" t="s">
        <v>463</v>
      </c>
      <c r="P28" s="302" t="s">
        <v>737</v>
      </c>
      <c r="Q28" s="303">
        <f t="shared" ref="Q28:T28" si="15">SUM(Q24:Q27)</f>
        <v>104122</v>
      </c>
      <c r="R28" s="303">
        <f t="shared" si="15"/>
        <v>223277</v>
      </c>
      <c r="S28" s="303">
        <f t="shared" si="15"/>
        <v>941317</v>
      </c>
      <c r="T28" s="303">
        <f t="shared" si="15"/>
        <v>902354</v>
      </c>
    </row>
    <row r="29" spans="2:20" ht="14.4">
      <c r="I29" s="291" t="s">
        <v>487</v>
      </c>
      <c r="J29" s="292">
        <v>542433</v>
      </c>
      <c r="K29" s="292">
        <v>542436</v>
      </c>
      <c r="L29" s="292">
        <v>542434</v>
      </c>
      <c r="M29" s="292">
        <v>542436</v>
      </c>
      <c r="N29" s="293">
        <v>542433</v>
      </c>
      <c r="P29" s="294"/>
      <c r="Q29" s="294"/>
      <c r="R29" s="294"/>
      <c r="S29" s="294"/>
      <c r="T29" s="294"/>
    </row>
    <row r="30" spans="2:20" ht="14.4">
      <c r="I30" s="291" t="s">
        <v>488</v>
      </c>
      <c r="J30" s="292">
        <v>0</v>
      </c>
      <c r="K30" s="292">
        <v>19704</v>
      </c>
      <c r="L30" s="292">
        <v>324454</v>
      </c>
      <c r="M30" s="292">
        <v>838262</v>
      </c>
      <c r="N30" s="293">
        <v>1615043</v>
      </c>
      <c r="P30" s="282" t="s">
        <v>738</v>
      </c>
      <c r="Q30" s="283">
        <f t="shared" ref="Q30:T30" si="16">Q37-Q35</f>
        <v>1255</v>
      </c>
      <c r="R30" s="283">
        <f t="shared" si="16"/>
        <v>3076</v>
      </c>
      <c r="S30" s="283">
        <f t="shared" si="16"/>
        <v>7720</v>
      </c>
      <c r="T30" s="283">
        <f t="shared" si="16"/>
        <v>12615</v>
      </c>
    </row>
    <row r="31" spans="2:20" ht="14.4">
      <c r="I31" s="291"/>
      <c r="J31" s="292"/>
      <c r="K31" s="292"/>
      <c r="L31" s="292"/>
      <c r="M31" s="292"/>
      <c r="N31" s="293"/>
      <c r="P31" s="282" t="s">
        <v>739</v>
      </c>
      <c r="Q31" s="283">
        <f t="shared" ref="Q31:T31" si="17">Q28+Q22+Q17</f>
        <v>394351</v>
      </c>
      <c r="R31" s="283">
        <f t="shared" si="17"/>
        <v>345730</v>
      </c>
      <c r="S31" s="283">
        <f t="shared" si="17"/>
        <v>591952</v>
      </c>
      <c r="T31" s="283">
        <f t="shared" si="17"/>
        <v>365586</v>
      </c>
    </row>
    <row r="32" spans="2:20" ht="14.4">
      <c r="I32" s="291"/>
      <c r="J32" s="292"/>
      <c r="K32" s="292"/>
      <c r="L32" s="292"/>
      <c r="M32" s="292"/>
      <c r="N32" s="293"/>
      <c r="P32" s="312" t="s">
        <v>740</v>
      </c>
      <c r="Q32" s="313">
        <f t="shared" ref="Q32:T32" si="18">Q30-Q31</f>
        <v>-393096</v>
      </c>
      <c r="R32" s="313">
        <f t="shared" si="18"/>
        <v>-342654</v>
      </c>
      <c r="S32" s="313">
        <f t="shared" si="18"/>
        <v>-584232</v>
      </c>
      <c r="T32" s="313">
        <f t="shared" si="18"/>
        <v>-352971</v>
      </c>
    </row>
    <row r="33" spans="9:20" ht="14.4">
      <c r="I33" s="291" t="s">
        <v>489</v>
      </c>
      <c r="J33" s="292">
        <v>19704</v>
      </c>
      <c r="K33" s="292">
        <v>304750</v>
      </c>
      <c r="L33" s="292">
        <v>513808</v>
      </c>
      <c r="M33" s="292">
        <v>776780</v>
      </c>
      <c r="N33" s="293">
        <v>672289</v>
      </c>
      <c r="P33" s="302" t="s">
        <v>741</v>
      </c>
      <c r="Q33" s="303">
        <f t="shared" ref="Q33:T33" si="19">Q31+Q32</f>
        <v>1255</v>
      </c>
      <c r="R33" s="303">
        <f t="shared" si="19"/>
        <v>3076</v>
      </c>
      <c r="S33" s="303">
        <f t="shared" si="19"/>
        <v>7720</v>
      </c>
      <c r="T33" s="303">
        <f t="shared" si="19"/>
        <v>12615</v>
      </c>
    </row>
    <row r="34" spans="9:20" ht="14.4">
      <c r="I34" s="297" t="s">
        <v>490</v>
      </c>
      <c r="J34" s="298">
        <v>662137</v>
      </c>
      <c r="K34" s="298">
        <v>966890</v>
      </c>
      <c r="L34" s="298">
        <v>1480696</v>
      </c>
      <c r="M34" s="298">
        <v>2257478</v>
      </c>
      <c r="N34" s="299">
        <v>2929765</v>
      </c>
      <c r="P34" s="294"/>
      <c r="Q34" s="294"/>
      <c r="R34" s="294"/>
      <c r="S34" s="294"/>
      <c r="T34" s="294"/>
    </row>
    <row r="35" spans="9:20" ht="14.4">
      <c r="I35" s="291" t="s">
        <v>491</v>
      </c>
      <c r="J35" s="292">
        <v>0</v>
      </c>
      <c r="K35" s="292">
        <v>0</v>
      </c>
      <c r="L35" s="292">
        <v>0</v>
      </c>
      <c r="M35" s="292">
        <v>0</v>
      </c>
      <c r="N35" s="293">
        <v>0</v>
      </c>
      <c r="P35" s="282" t="s">
        <v>742</v>
      </c>
      <c r="Q35" s="283">
        <f t="shared" ref="Q35:T35" si="20">J20</f>
        <v>4873</v>
      </c>
      <c r="R35" s="283">
        <f t="shared" si="20"/>
        <v>6128</v>
      </c>
      <c r="S35" s="283">
        <f t="shared" si="20"/>
        <v>9204</v>
      </c>
      <c r="T35" s="283">
        <f t="shared" si="20"/>
        <v>16924</v>
      </c>
    </row>
    <row r="36" spans="9:20" ht="14.4">
      <c r="I36" s="297" t="s">
        <v>492</v>
      </c>
      <c r="J36" s="298">
        <v>662137</v>
      </c>
      <c r="K36" s="298">
        <v>966890</v>
      </c>
      <c r="L36" s="298">
        <v>1480696</v>
      </c>
      <c r="M36" s="298">
        <v>2257478</v>
      </c>
      <c r="N36" s="299">
        <v>2929765</v>
      </c>
      <c r="P36" s="282" t="s">
        <v>743</v>
      </c>
      <c r="Q36" s="283">
        <f t="shared" ref="Q36:T36" si="21">Q33+Q35</f>
        <v>6128</v>
      </c>
      <c r="R36" s="283">
        <f t="shared" si="21"/>
        <v>9204</v>
      </c>
      <c r="S36" s="283">
        <f t="shared" si="21"/>
        <v>16924</v>
      </c>
      <c r="T36" s="283">
        <f t="shared" si="21"/>
        <v>29539</v>
      </c>
    </row>
    <row r="37" spans="9:20" ht="14.4">
      <c r="I37" s="307" t="s">
        <v>493</v>
      </c>
      <c r="J37" s="308"/>
      <c r="K37" s="308"/>
      <c r="L37" s="308"/>
      <c r="M37" s="308"/>
      <c r="N37" s="309"/>
      <c r="P37" s="282" t="s">
        <v>744</v>
      </c>
      <c r="Q37" s="283">
        <f t="shared" ref="Q37:T37" si="22">K20</f>
        <v>6128</v>
      </c>
      <c r="R37" s="283">
        <f t="shared" si="22"/>
        <v>9204</v>
      </c>
      <c r="S37" s="283">
        <f t="shared" si="22"/>
        <v>16924</v>
      </c>
      <c r="T37" s="283">
        <f t="shared" si="22"/>
        <v>29539</v>
      </c>
    </row>
    <row r="38" spans="9:20" ht="13.8">
      <c r="I38" s="314" t="s">
        <v>494</v>
      </c>
      <c r="J38" s="315"/>
      <c r="K38" s="315"/>
      <c r="L38" s="315"/>
      <c r="M38" s="315"/>
      <c r="N38" s="316"/>
    </row>
    <row r="39" spans="9:20" ht="13.8">
      <c r="I39" s="291" t="s">
        <v>495</v>
      </c>
      <c r="J39" s="292">
        <v>0</v>
      </c>
      <c r="K39" s="292">
        <v>0</v>
      </c>
      <c r="L39" s="292">
        <v>0</v>
      </c>
      <c r="M39" s="292">
        <v>0</v>
      </c>
      <c r="N39" s="293">
        <v>0</v>
      </c>
      <c r="O39" s="257" t="s">
        <v>463</v>
      </c>
    </row>
    <row r="40" spans="9:20" ht="13.8">
      <c r="I40" s="291" t="s">
        <v>496</v>
      </c>
      <c r="J40" s="292">
        <v>193620</v>
      </c>
      <c r="K40" s="292">
        <v>220634</v>
      </c>
      <c r="L40" s="292">
        <v>253701</v>
      </c>
      <c r="M40" s="292">
        <v>307482</v>
      </c>
      <c r="N40" s="293">
        <v>275626</v>
      </c>
      <c r="O40" s="257" t="s">
        <v>463</v>
      </c>
    </row>
    <row r="41" spans="9:20" ht="13.8">
      <c r="I41" s="291" t="s">
        <v>497</v>
      </c>
      <c r="J41" s="292">
        <v>0</v>
      </c>
      <c r="K41" s="292">
        <v>0</v>
      </c>
      <c r="L41" s="292">
        <v>0</v>
      </c>
      <c r="M41" s="292">
        <v>0</v>
      </c>
      <c r="N41" s="293">
        <v>0</v>
      </c>
      <c r="O41" s="257" t="s">
        <v>463</v>
      </c>
    </row>
    <row r="42" spans="9:20" ht="13.8">
      <c r="I42" s="291" t="s">
        <v>498</v>
      </c>
      <c r="J42" s="292">
        <v>1967673</v>
      </c>
      <c r="K42" s="292">
        <v>2590830</v>
      </c>
      <c r="L42" s="292">
        <v>3314910</v>
      </c>
      <c r="M42" s="292">
        <v>4483132</v>
      </c>
      <c r="N42" s="293">
        <v>4243554</v>
      </c>
      <c r="O42" s="257" t="s">
        <v>463</v>
      </c>
    </row>
    <row r="43" spans="9:20" ht="13.8">
      <c r="I43" s="291" t="s">
        <v>499</v>
      </c>
      <c r="J43" s="292">
        <v>1300000</v>
      </c>
      <c r="K43" s="292">
        <v>1300000</v>
      </c>
      <c r="L43" s="292">
        <v>0</v>
      </c>
      <c r="M43" s="292">
        <v>0</v>
      </c>
      <c r="N43" s="293">
        <v>0</v>
      </c>
      <c r="O43" s="257" t="s">
        <v>463</v>
      </c>
    </row>
    <row r="44" spans="9:20" ht="13.8">
      <c r="I44" s="297" t="s">
        <v>500</v>
      </c>
      <c r="J44" s="298">
        <v>3461293</v>
      </c>
      <c r="K44" s="298">
        <v>4111464</v>
      </c>
      <c r="L44" s="298">
        <v>3568611</v>
      </c>
      <c r="M44" s="298">
        <v>4790614</v>
      </c>
      <c r="N44" s="299">
        <v>4519180</v>
      </c>
    </row>
    <row r="45" spans="9:20" ht="13.8">
      <c r="I45" s="286" t="s">
        <v>501</v>
      </c>
      <c r="J45" s="300"/>
      <c r="K45" s="300"/>
      <c r="L45" s="300"/>
      <c r="M45" s="300"/>
      <c r="N45" s="301"/>
    </row>
    <row r="46" spans="9:20" ht="13.8">
      <c r="I46" s="291" t="s">
        <v>502</v>
      </c>
      <c r="J46" s="292">
        <v>1047973</v>
      </c>
      <c r="K46" s="292">
        <v>1023644</v>
      </c>
      <c r="L46" s="292">
        <v>1770389</v>
      </c>
      <c r="M46" s="292">
        <v>1844400</v>
      </c>
      <c r="N46" s="293">
        <v>1259596</v>
      </c>
      <c r="O46" s="257" t="s">
        <v>463</v>
      </c>
    </row>
    <row r="47" spans="9:20" ht="13.8">
      <c r="I47" s="291" t="s">
        <v>503</v>
      </c>
      <c r="J47" s="292">
        <v>954402</v>
      </c>
      <c r="K47" s="292">
        <v>408353</v>
      </c>
      <c r="L47" s="292">
        <v>1174483</v>
      </c>
      <c r="M47" s="292">
        <v>893797</v>
      </c>
      <c r="N47" s="293">
        <v>2067585</v>
      </c>
      <c r="O47" s="257" t="s">
        <v>463</v>
      </c>
    </row>
    <row r="48" spans="9:20" ht="13.8">
      <c r="I48" s="291" t="s">
        <v>504</v>
      </c>
      <c r="J48" s="292">
        <v>25687</v>
      </c>
      <c r="K48" s="292">
        <v>43393</v>
      </c>
      <c r="L48" s="292">
        <v>155494</v>
      </c>
      <c r="M48" s="292">
        <v>75574</v>
      </c>
      <c r="N48" s="293">
        <v>105048</v>
      </c>
      <c r="O48" s="257" t="s">
        <v>463</v>
      </c>
    </row>
    <row r="49" spans="9:15" ht="13.8">
      <c r="I49" s="291" t="s">
        <v>505</v>
      </c>
      <c r="J49" s="292">
        <v>680341</v>
      </c>
      <c r="K49" s="292">
        <v>696823</v>
      </c>
      <c r="L49" s="292">
        <v>835809</v>
      </c>
      <c r="M49" s="292">
        <v>1015235</v>
      </c>
      <c r="N49" s="293">
        <v>1109556</v>
      </c>
      <c r="O49" s="257" t="s">
        <v>463</v>
      </c>
    </row>
    <row r="50" spans="9:15" ht="13.8">
      <c r="I50" s="297" t="s">
        <v>506</v>
      </c>
      <c r="J50" s="298">
        <v>2708403</v>
      </c>
      <c r="K50" s="298">
        <v>2172213</v>
      </c>
      <c r="L50" s="298">
        <v>3936175</v>
      </c>
      <c r="M50" s="298">
        <v>3829006</v>
      </c>
      <c r="N50" s="299">
        <v>4541785</v>
      </c>
    </row>
    <row r="51" spans="9:15" ht="13.8">
      <c r="I51" s="286" t="s">
        <v>507</v>
      </c>
      <c r="J51" s="317">
        <v>0</v>
      </c>
      <c r="K51" s="317">
        <v>0</v>
      </c>
      <c r="L51" s="317">
        <v>0</v>
      </c>
      <c r="M51" s="317">
        <v>0</v>
      </c>
      <c r="N51" s="318">
        <v>0</v>
      </c>
    </row>
    <row r="52" spans="9:15" ht="13.8">
      <c r="I52" s="297" t="s">
        <v>508</v>
      </c>
      <c r="J52" s="319">
        <v>6169696</v>
      </c>
      <c r="K52" s="319">
        <v>6283677</v>
      </c>
      <c r="L52" s="319">
        <v>7504786</v>
      </c>
      <c r="M52" s="319">
        <v>8619620</v>
      </c>
      <c r="N52" s="320">
        <v>9060965</v>
      </c>
    </row>
    <row r="53" spans="9:15" ht="13.8">
      <c r="I53" s="321" t="s">
        <v>509</v>
      </c>
      <c r="J53" s="322">
        <v>6831833</v>
      </c>
      <c r="K53" s="322">
        <v>7250567</v>
      </c>
      <c r="L53" s="322">
        <v>8985482</v>
      </c>
      <c r="M53" s="322">
        <v>10877098</v>
      </c>
      <c r="N53" s="323">
        <v>11990730</v>
      </c>
    </row>
  </sheetData>
  <mergeCells count="4">
    <mergeCell ref="P1:T1"/>
    <mergeCell ref="B4:F4"/>
    <mergeCell ref="I4:M4"/>
    <mergeCell ref="P4:T4"/>
  </mergeCell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BB52-746F-4937-9120-D4F569F25402}">
  <sheetPr>
    <outlinePr summaryBelow="0" summaryRight="0"/>
  </sheetPr>
  <dimension ref="A1:O209"/>
  <sheetViews>
    <sheetView zoomScale="55" zoomScaleNormal="55" workbookViewId="0">
      <selection activeCell="C185" sqref="C185"/>
    </sheetView>
  </sheetViews>
  <sheetFormatPr defaultColWidth="12.5546875" defaultRowHeight="15" customHeight="1"/>
  <cols>
    <col min="1" max="1" width="12.5546875" style="333"/>
    <col min="2" max="2" width="47.109375" style="333" customWidth="1"/>
    <col min="3" max="3" width="53.109375" style="333" customWidth="1"/>
    <col min="4" max="4" width="31.109375" style="333" customWidth="1"/>
    <col min="5" max="5" width="12.5546875" style="333"/>
    <col min="6" max="8" width="12.5546875" style="420"/>
    <col min="9" max="16384" width="12.5546875" style="333"/>
  </cols>
  <sheetData>
    <row r="1" spans="1:13" ht="15" customHeight="1" thickBot="1">
      <c r="A1" s="331"/>
      <c r="B1" s="438" t="s">
        <v>745</v>
      </c>
      <c r="C1" s="332"/>
      <c r="D1" s="332"/>
      <c r="E1" s="332"/>
      <c r="F1" s="362"/>
      <c r="G1" s="362"/>
      <c r="H1" s="362"/>
      <c r="I1" s="331"/>
      <c r="J1" s="331"/>
      <c r="K1" s="331"/>
      <c r="L1" s="331"/>
      <c r="M1" s="331"/>
    </row>
    <row r="2" spans="1:13" ht="15" customHeight="1">
      <c r="A2" s="331"/>
      <c r="B2" s="523" t="s">
        <v>610</v>
      </c>
      <c r="C2" s="524"/>
      <c r="D2" s="524"/>
      <c r="E2" s="524"/>
      <c r="F2" s="524"/>
      <c r="G2" s="524"/>
      <c r="H2" s="525"/>
      <c r="I2" s="331"/>
      <c r="J2" s="331"/>
      <c r="K2" s="331"/>
      <c r="L2" s="331"/>
      <c r="M2" s="331"/>
    </row>
    <row r="3" spans="1:13" ht="15" customHeight="1">
      <c r="A3" s="331"/>
      <c r="B3" s="440"/>
      <c r="C3" s="526"/>
      <c r="D3" s="526"/>
      <c r="E3" s="441">
        <v>2021</v>
      </c>
      <c r="F3" s="442">
        <v>2022</v>
      </c>
      <c r="G3" s="442">
        <v>2023</v>
      </c>
      <c r="H3" s="443">
        <v>2024</v>
      </c>
      <c r="I3" s="331"/>
      <c r="J3" s="331"/>
      <c r="K3" s="331"/>
      <c r="L3" s="331"/>
      <c r="M3" s="331"/>
    </row>
    <row r="4" spans="1:13" ht="15" customHeight="1">
      <c r="A4" s="331"/>
      <c r="B4" s="430" t="s">
        <v>611</v>
      </c>
      <c r="C4" s="517" t="s">
        <v>514</v>
      </c>
      <c r="D4" s="517"/>
      <c r="E4" s="444">
        <f>'[1]Reformulated balance sheet'!D63</f>
        <v>6766164</v>
      </c>
      <c r="F4" s="445">
        <f>'[1]Reformulated balance sheet'!E63</f>
        <v>8845278</v>
      </c>
      <c r="G4" s="445">
        <f>'[1]Reformulated balance sheet'!F63</f>
        <v>10164691</v>
      </c>
      <c r="H4" s="446">
        <f>'[1]Reformulated balance sheet'!G63</f>
        <v>11515958</v>
      </c>
      <c r="I4" s="331"/>
      <c r="J4" s="331"/>
      <c r="K4" s="331"/>
      <c r="L4" s="331"/>
      <c r="M4" s="331"/>
    </row>
    <row r="5" spans="1:13" ht="15" customHeight="1">
      <c r="A5" s="331"/>
      <c r="B5" s="430" t="s">
        <v>612</v>
      </c>
      <c r="C5" s="517" t="s">
        <v>613</v>
      </c>
      <c r="D5" s="517"/>
      <c r="E5" s="444">
        <f>'[1]Reformulated balance sheet'!D76</f>
        <v>1763860</v>
      </c>
      <c r="F5" s="445">
        <f>'[1]Reformulated balance sheet'!E76</f>
        <v>2761692</v>
      </c>
      <c r="G5" s="445">
        <f>'[1]Reformulated balance sheet'!F76</f>
        <v>2935209</v>
      </c>
      <c r="H5" s="446">
        <f>'[1]Reformulated balance sheet'!G76</f>
        <v>2474200</v>
      </c>
      <c r="I5" s="331"/>
      <c r="J5" s="331"/>
      <c r="K5" s="331"/>
      <c r="L5" s="331"/>
      <c r="M5" s="331"/>
    </row>
    <row r="6" spans="1:13" ht="15" customHeight="1">
      <c r="A6" s="331"/>
      <c r="B6" s="430" t="s">
        <v>614</v>
      </c>
      <c r="C6" s="517" t="s">
        <v>615</v>
      </c>
      <c r="D6" s="517"/>
      <c r="E6" s="444">
        <f t="shared" ref="E6:H6" si="0">E4-E5</f>
        <v>5002304</v>
      </c>
      <c r="F6" s="445">
        <f t="shared" si="0"/>
        <v>6083586</v>
      </c>
      <c r="G6" s="445">
        <f t="shared" si="0"/>
        <v>7229482</v>
      </c>
      <c r="H6" s="446">
        <f t="shared" si="0"/>
        <v>9041758</v>
      </c>
      <c r="I6" s="331"/>
      <c r="J6" s="331"/>
      <c r="K6" s="331"/>
      <c r="L6" s="331"/>
      <c r="M6" s="331"/>
    </row>
    <row r="7" spans="1:13" ht="15" customHeight="1">
      <c r="A7" s="331"/>
      <c r="B7" s="430" t="s">
        <v>616</v>
      </c>
      <c r="C7" s="517" t="s">
        <v>522</v>
      </c>
      <c r="D7" s="517"/>
      <c r="E7" s="444">
        <f>'[1]Reformulated balance sheet'!D67</f>
        <v>484403</v>
      </c>
      <c r="F7" s="445">
        <f>'[1]Reformulated balance sheet'!E67</f>
        <v>140204</v>
      </c>
      <c r="G7" s="445">
        <f>'[1]Reformulated balance sheet'!F67</f>
        <v>712407</v>
      </c>
      <c r="H7" s="446">
        <f>'[1]Reformulated balance sheet'!G67</f>
        <v>474772</v>
      </c>
      <c r="I7" s="331"/>
      <c r="J7" s="331"/>
      <c r="K7" s="331"/>
      <c r="L7" s="331"/>
      <c r="M7" s="331"/>
    </row>
    <row r="8" spans="1:13" ht="15" customHeight="1">
      <c r="A8" s="331"/>
      <c r="B8" s="430" t="s">
        <v>617</v>
      </c>
      <c r="C8" s="517" t="s">
        <v>530</v>
      </c>
      <c r="D8" s="517"/>
      <c r="E8" s="444">
        <f>'[1]Reformulated balance sheet'!D83</f>
        <v>4519817</v>
      </c>
      <c r="F8" s="445">
        <f>'[1]Reformulated balance sheet'!E83</f>
        <v>4743094</v>
      </c>
      <c r="G8" s="445">
        <f>'[1]Reformulated balance sheet'!F83</f>
        <v>5684411</v>
      </c>
      <c r="H8" s="446">
        <f>'[1]Reformulated balance sheet'!G83</f>
        <v>6586765</v>
      </c>
      <c r="I8" s="331"/>
      <c r="J8" s="331"/>
      <c r="K8" s="331"/>
      <c r="L8" s="331"/>
      <c r="M8" s="331"/>
    </row>
    <row r="9" spans="1:13" ht="15" customHeight="1">
      <c r="A9" s="331"/>
      <c r="B9" s="430" t="s">
        <v>618</v>
      </c>
      <c r="C9" s="517" t="s">
        <v>619</v>
      </c>
      <c r="D9" s="517"/>
      <c r="E9" s="444">
        <f t="shared" ref="E9:H9" si="1">E8-E7</f>
        <v>4035414</v>
      </c>
      <c r="F9" s="445">
        <f t="shared" si="1"/>
        <v>4602890</v>
      </c>
      <c r="G9" s="445">
        <f t="shared" si="1"/>
        <v>4972004</v>
      </c>
      <c r="H9" s="446">
        <f t="shared" si="1"/>
        <v>6111993</v>
      </c>
      <c r="I9" s="331"/>
      <c r="J9" s="331"/>
      <c r="K9" s="331"/>
      <c r="L9" s="331"/>
      <c r="M9" s="331"/>
    </row>
    <row r="10" spans="1:13" ht="15" customHeight="1">
      <c r="A10" s="331"/>
      <c r="B10" s="430"/>
      <c r="C10" s="517" t="s">
        <v>485</v>
      </c>
      <c r="D10" s="517"/>
      <c r="E10" s="444">
        <f>'[1]Reformulated balance sheet'!D89</f>
        <v>966890</v>
      </c>
      <c r="F10" s="445">
        <f>'[1]Reformulated balance sheet'!E89</f>
        <v>1480696</v>
      </c>
      <c r="G10" s="445">
        <f>'[1]Reformulated balance sheet'!F89</f>
        <v>2257478</v>
      </c>
      <c r="H10" s="446">
        <f>'[1]Reformulated balance sheet'!G89</f>
        <v>2929765</v>
      </c>
      <c r="I10" s="331"/>
      <c r="J10" s="331"/>
      <c r="K10" s="331"/>
      <c r="L10" s="331"/>
      <c r="M10" s="331"/>
    </row>
    <row r="11" spans="1:13" ht="15" customHeight="1">
      <c r="A11" s="331"/>
      <c r="B11" s="430" t="s">
        <v>614</v>
      </c>
      <c r="C11" s="517" t="s">
        <v>620</v>
      </c>
      <c r="D11" s="517"/>
      <c r="E11" s="444"/>
      <c r="F11" s="445">
        <f t="shared" ref="F11:H15" si="2">(F6+E6)/2</f>
        <v>5542945</v>
      </c>
      <c r="G11" s="445">
        <f t="shared" si="2"/>
        <v>6656534</v>
      </c>
      <c r="H11" s="446">
        <f t="shared" si="2"/>
        <v>8135620</v>
      </c>
      <c r="I11" s="331"/>
      <c r="J11" s="331"/>
      <c r="K11" s="331"/>
      <c r="L11" s="331"/>
      <c r="M11" s="331"/>
    </row>
    <row r="12" spans="1:13" ht="15" customHeight="1">
      <c r="A12" s="331"/>
      <c r="B12" s="430"/>
      <c r="C12" s="517" t="s">
        <v>621</v>
      </c>
      <c r="D12" s="517"/>
      <c r="E12" s="444"/>
      <c r="F12" s="445">
        <f t="shared" si="2"/>
        <v>312303.5</v>
      </c>
      <c r="G12" s="445">
        <f t="shared" si="2"/>
        <v>426305.5</v>
      </c>
      <c r="H12" s="446">
        <f t="shared" si="2"/>
        <v>593589.5</v>
      </c>
      <c r="I12" s="331"/>
      <c r="J12" s="331"/>
      <c r="K12" s="331"/>
      <c r="L12" s="331"/>
      <c r="M12" s="331"/>
    </row>
    <row r="13" spans="1:13" ht="15" customHeight="1">
      <c r="A13" s="331"/>
      <c r="B13" s="430"/>
      <c r="C13" s="517" t="s">
        <v>622</v>
      </c>
      <c r="D13" s="517"/>
      <c r="E13" s="444"/>
      <c r="F13" s="445">
        <f t="shared" si="2"/>
        <v>4631455.5</v>
      </c>
      <c r="G13" s="445">
        <f t="shared" si="2"/>
        <v>5213752.5</v>
      </c>
      <c r="H13" s="446">
        <f t="shared" si="2"/>
        <v>6135588</v>
      </c>
      <c r="I13" s="331"/>
      <c r="J13" s="331"/>
      <c r="K13" s="331"/>
      <c r="L13" s="331"/>
      <c r="M13" s="331"/>
    </row>
    <row r="14" spans="1:13" ht="15" customHeight="1">
      <c r="A14" s="331"/>
      <c r="B14" s="430" t="s">
        <v>618</v>
      </c>
      <c r="C14" s="517" t="s">
        <v>623</v>
      </c>
      <c r="D14" s="517"/>
      <c r="E14" s="444"/>
      <c r="F14" s="445">
        <f t="shared" si="2"/>
        <v>4319152</v>
      </c>
      <c r="G14" s="445">
        <f t="shared" si="2"/>
        <v>4787447</v>
      </c>
      <c r="H14" s="446">
        <f t="shared" si="2"/>
        <v>5541998.5</v>
      </c>
      <c r="I14" s="331"/>
      <c r="J14" s="331"/>
      <c r="K14" s="331"/>
      <c r="L14" s="331"/>
      <c r="M14" s="331"/>
    </row>
    <row r="15" spans="1:13" ht="15" customHeight="1">
      <c r="A15" s="331"/>
      <c r="B15" s="430" t="s">
        <v>624</v>
      </c>
      <c r="C15" s="517" t="s">
        <v>625</v>
      </c>
      <c r="D15" s="517"/>
      <c r="E15" s="444"/>
      <c r="F15" s="445">
        <f t="shared" si="2"/>
        <v>1223793</v>
      </c>
      <c r="G15" s="445">
        <f t="shared" si="2"/>
        <v>1869087</v>
      </c>
      <c r="H15" s="446">
        <f t="shared" si="2"/>
        <v>2593621.5</v>
      </c>
      <c r="I15" s="331"/>
      <c r="J15" s="331"/>
      <c r="K15" s="331"/>
      <c r="L15" s="331"/>
      <c r="M15" s="331"/>
    </row>
    <row r="16" spans="1:13" ht="15" customHeight="1">
      <c r="A16" s="331"/>
      <c r="B16" s="430"/>
      <c r="C16" s="517" t="s">
        <v>626</v>
      </c>
      <c r="D16" s="517"/>
      <c r="E16" s="444">
        <f>'[1]Reformulated balance sheet'!D56</f>
        <v>1192500</v>
      </c>
      <c r="F16" s="445">
        <f>'[1]Reformulated balance sheet'!E56</f>
        <v>1268047</v>
      </c>
      <c r="G16" s="445">
        <f>'[1]Reformulated balance sheet'!F56</f>
        <v>1367114</v>
      </c>
      <c r="H16" s="446">
        <f>'[1]Reformulated balance sheet'!G56</f>
        <v>899391</v>
      </c>
      <c r="I16" s="331"/>
      <c r="J16" s="331"/>
      <c r="K16" s="331"/>
      <c r="L16" s="331"/>
      <c r="M16" s="331"/>
    </row>
    <row r="17" spans="1:13" ht="15" customHeight="1">
      <c r="A17" s="331"/>
      <c r="B17" s="430"/>
      <c r="C17" s="517" t="s">
        <v>627</v>
      </c>
      <c r="D17" s="517"/>
      <c r="E17" s="444">
        <f>'[1]Reformulated balance sheet'!D57</f>
        <v>1885278</v>
      </c>
      <c r="F17" s="445">
        <f>'[1]Reformulated balance sheet'!E57</f>
        <v>2153497</v>
      </c>
      <c r="G17" s="445">
        <f>'[1]Reformulated balance sheet'!F57</f>
        <v>2892260</v>
      </c>
      <c r="H17" s="446">
        <f>'[1]Reformulated balance sheet'!G57</f>
        <v>2962879</v>
      </c>
      <c r="I17" s="331"/>
      <c r="J17" s="331"/>
      <c r="K17" s="331"/>
      <c r="L17" s="331"/>
      <c r="M17" s="331"/>
    </row>
    <row r="18" spans="1:13" ht="15" customHeight="1">
      <c r="A18" s="331"/>
      <c r="B18" s="430"/>
      <c r="C18" s="517" t="s">
        <v>628</v>
      </c>
      <c r="D18" s="517"/>
      <c r="E18" s="444">
        <f>'[1]Reformulated balance sheet'!D71</f>
        <v>1023644</v>
      </c>
      <c r="F18" s="445">
        <f>'[1]Reformulated balance sheet'!E71</f>
        <v>1770389</v>
      </c>
      <c r="G18" s="445">
        <f>'[1]Reformulated balance sheet'!F71</f>
        <v>1844400</v>
      </c>
      <c r="H18" s="446">
        <f>'[1]Reformulated balance sheet'!G71</f>
        <v>1259596</v>
      </c>
      <c r="I18" s="331"/>
      <c r="J18" s="331"/>
      <c r="K18" s="331"/>
      <c r="L18" s="331"/>
      <c r="M18" s="331"/>
    </row>
    <row r="19" spans="1:13" ht="15" customHeight="1">
      <c r="A19" s="331"/>
      <c r="B19" s="430"/>
      <c r="C19" s="517" t="s">
        <v>629</v>
      </c>
      <c r="D19" s="517"/>
      <c r="E19" s="444"/>
      <c r="F19" s="445">
        <f t="shared" ref="F19:H21" si="3">(F16+E16)/2</f>
        <v>1230273.5</v>
      </c>
      <c r="G19" s="445">
        <f t="shared" si="3"/>
        <v>1317580.5</v>
      </c>
      <c r="H19" s="446">
        <f t="shared" si="3"/>
        <v>1133252.5</v>
      </c>
      <c r="I19" s="331"/>
      <c r="J19" s="331"/>
      <c r="K19" s="331"/>
      <c r="L19" s="331"/>
      <c r="M19" s="331"/>
    </row>
    <row r="20" spans="1:13" ht="15" customHeight="1">
      <c r="A20" s="331"/>
      <c r="B20" s="430"/>
      <c r="C20" s="517" t="s">
        <v>630</v>
      </c>
      <c r="D20" s="517"/>
      <c r="E20" s="444"/>
      <c r="F20" s="445">
        <f t="shared" si="3"/>
        <v>2019387.5</v>
      </c>
      <c r="G20" s="445">
        <f t="shared" si="3"/>
        <v>2522878.5</v>
      </c>
      <c r="H20" s="446">
        <f t="shared" si="3"/>
        <v>2927569.5</v>
      </c>
      <c r="I20" s="331"/>
      <c r="J20" s="331"/>
      <c r="K20" s="331"/>
      <c r="L20" s="331"/>
      <c r="M20" s="331"/>
    </row>
    <row r="21" spans="1:13" ht="15" customHeight="1">
      <c r="A21" s="331"/>
      <c r="B21" s="430"/>
      <c r="C21" s="517" t="s">
        <v>631</v>
      </c>
      <c r="D21" s="517"/>
      <c r="E21" s="444"/>
      <c r="F21" s="445">
        <f t="shared" si="3"/>
        <v>1397016.5</v>
      </c>
      <c r="G21" s="445">
        <f t="shared" si="3"/>
        <v>1807394.5</v>
      </c>
      <c r="H21" s="446">
        <f t="shared" si="3"/>
        <v>1551998</v>
      </c>
      <c r="I21" s="331"/>
      <c r="J21" s="331"/>
      <c r="K21" s="331"/>
      <c r="L21" s="331"/>
      <c r="M21" s="331"/>
    </row>
    <row r="22" spans="1:13" ht="15" customHeight="1">
      <c r="A22" s="331"/>
      <c r="B22" s="430"/>
      <c r="C22" s="517" t="s">
        <v>565</v>
      </c>
      <c r="D22" s="517"/>
      <c r="E22" s="444">
        <f>'[1]Reformulated Income statement'!D5</f>
        <v>9241787</v>
      </c>
      <c r="F22" s="445">
        <f>'[1]Reformulated Income statement'!E5</f>
        <v>12660706</v>
      </c>
      <c r="G22" s="445">
        <f>'[1]Reformulated Income statement'!F5</f>
        <v>14473142</v>
      </c>
      <c r="H22" s="446">
        <f>'[1]Reformulated Income statement'!G5</f>
        <v>14950204</v>
      </c>
      <c r="I22" s="331"/>
      <c r="J22" s="331"/>
      <c r="K22" s="331"/>
      <c r="L22" s="331"/>
      <c r="M22" s="331"/>
    </row>
    <row r="23" spans="1:13" ht="15" customHeight="1">
      <c r="A23" s="331"/>
      <c r="B23" s="430"/>
      <c r="C23" s="517" t="s">
        <v>632</v>
      </c>
      <c r="D23" s="517"/>
      <c r="E23" s="444">
        <f>'[1]Reformulated Income statement'!D7</f>
        <v>-4922052</v>
      </c>
      <c r="F23" s="445">
        <f>'[1]Reformulated Income statement'!E7</f>
        <v>-6273959</v>
      </c>
      <c r="G23" s="445">
        <f>'[1]Reformulated Income statement'!F7</f>
        <v>-7792575</v>
      </c>
      <c r="H23" s="446">
        <f>'[1]Reformulated Income statement'!G7</f>
        <v>-6960697</v>
      </c>
      <c r="I23" s="331"/>
      <c r="J23" s="331"/>
      <c r="K23" s="331"/>
      <c r="L23" s="331"/>
      <c r="M23" s="331"/>
    </row>
    <row r="24" spans="1:13" ht="15" customHeight="1">
      <c r="A24" s="331"/>
      <c r="B24" s="430"/>
      <c r="C24" s="517" t="s">
        <v>567</v>
      </c>
      <c r="D24" s="517"/>
      <c r="E24" s="447">
        <f t="shared" ref="E24:H24" si="4">E22+E23</f>
        <v>4319735</v>
      </c>
      <c r="F24" s="448">
        <f t="shared" si="4"/>
        <v>6386747</v>
      </c>
      <c r="G24" s="448">
        <f t="shared" si="4"/>
        <v>6680567</v>
      </c>
      <c r="H24" s="449">
        <f t="shared" si="4"/>
        <v>7989507</v>
      </c>
      <c r="I24" s="331"/>
      <c r="J24" s="331"/>
      <c r="K24" s="331"/>
      <c r="L24" s="331"/>
      <c r="M24" s="331"/>
    </row>
    <row r="25" spans="1:13" ht="15" customHeight="1">
      <c r="A25" s="331"/>
      <c r="B25" s="430" t="s">
        <v>633</v>
      </c>
      <c r="C25" s="517" t="s">
        <v>634</v>
      </c>
      <c r="D25" s="517"/>
      <c r="E25" s="444">
        <f>'[1]Reformulated Income statement'!D72</f>
        <v>-60840.500245940668</v>
      </c>
      <c r="F25" s="445">
        <f>'[1]Reformulated Income statement'!E72</f>
        <v>317391.31066923239</v>
      </c>
      <c r="G25" s="445">
        <f>'[1]Reformulated Income statement'!F72</f>
        <v>65251.227902334707</v>
      </c>
      <c r="H25" s="446">
        <f>'[1]Reformulated Income statement'!G72</f>
        <v>881265.58102158329</v>
      </c>
      <c r="I25" s="331"/>
      <c r="J25" s="331"/>
      <c r="K25" s="331"/>
      <c r="L25" s="331"/>
      <c r="M25" s="331"/>
    </row>
    <row r="26" spans="1:13" ht="15" customHeight="1">
      <c r="A26" s="331"/>
      <c r="B26" s="430" t="s">
        <v>635</v>
      </c>
      <c r="C26" s="517" t="s">
        <v>636</v>
      </c>
      <c r="D26" s="517"/>
      <c r="E26" s="444"/>
      <c r="F26" s="445"/>
      <c r="G26" s="445"/>
      <c r="H26" s="446"/>
      <c r="I26" s="331"/>
      <c r="J26" s="331"/>
      <c r="K26" s="331"/>
      <c r="L26" s="331"/>
      <c r="M26" s="331"/>
    </row>
    <row r="27" spans="1:13" ht="15" customHeight="1">
      <c r="A27" s="331"/>
      <c r="B27" s="430" t="s">
        <v>591</v>
      </c>
      <c r="C27" s="517" t="s">
        <v>591</v>
      </c>
      <c r="D27" s="517"/>
      <c r="E27" s="444">
        <f>'[1]Reformulated Income statement'!D76</f>
        <v>438372.56591078278</v>
      </c>
      <c r="F27" s="445">
        <f>'[1]Reformulated Income statement'!E76</f>
        <v>638360.92233863112</v>
      </c>
      <c r="G27" s="445">
        <f>'[1]Reformulated Income statement'!F76</f>
        <v>960065.49497490644</v>
      </c>
      <c r="H27" s="446">
        <f>'[1]Reformulated Income statement'!G76</f>
        <v>931706.05862974713</v>
      </c>
      <c r="I27" s="331"/>
      <c r="J27" s="331"/>
      <c r="K27" s="331"/>
      <c r="L27" s="331"/>
      <c r="M27" s="331"/>
    </row>
    <row r="28" spans="1:13" ht="15" customHeight="1">
      <c r="A28" s="331"/>
      <c r="B28" s="430"/>
      <c r="C28" s="517" t="s">
        <v>637</v>
      </c>
      <c r="D28" s="517"/>
      <c r="E28" s="444">
        <f>'[1]Reformulated Income statement'!D78</f>
        <v>291</v>
      </c>
      <c r="F28" s="445">
        <f>'[1]Reformulated Income statement'!E78</f>
        <v>258</v>
      </c>
      <c r="G28" s="445">
        <f>'[1]Reformulated Income statement'!F78</f>
        <v>333</v>
      </c>
      <c r="H28" s="446">
        <f>'[1]Reformulated Income statement'!G78</f>
        <v>74265</v>
      </c>
      <c r="I28" s="331"/>
      <c r="J28" s="331"/>
      <c r="K28" s="331"/>
      <c r="L28" s="331"/>
      <c r="M28" s="331"/>
    </row>
    <row r="29" spans="1:13" ht="14.4">
      <c r="A29" s="331"/>
      <c r="B29" s="430"/>
      <c r="C29" s="517" t="s">
        <v>638</v>
      </c>
      <c r="D29" s="517"/>
      <c r="E29" s="444">
        <f>'[1]Reformulated Income statement'!D79</f>
        <v>-166922</v>
      </c>
      <c r="F29" s="445">
        <f>'[1]Reformulated Income statement'!E79</f>
        <v>-173690</v>
      </c>
      <c r="G29" s="445">
        <f>'[1]Reformulated Income statement'!F79</f>
        <v>-240050</v>
      </c>
      <c r="H29" s="446">
        <f>'[1]Reformulated Income statement'!G79</f>
        <v>-382279</v>
      </c>
      <c r="I29" s="331"/>
      <c r="J29" s="331"/>
      <c r="K29" s="331"/>
      <c r="L29" s="331"/>
      <c r="M29" s="331"/>
    </row>
    <row r="30" spans="1:13" ht="14.4">
      <c r="A30" s="331"/>
      <c r="B30" s="430" t="s">
        <v>639</v>
      </c>
      <c r="C30" s="517" t="s">
        <v>640</v>
      </c>
      <c r="D30" s="517"/>
      <c r="E30" s="444">
        <f>'[1]Reformulated Income statement'!D83</f>
        <v>-133622.56591078272</v>
      </c>
      <c r="F30" s="445">
        <f>'[1]Reformulated Income statement'!E83</f>
        <v>-124552.92233863112</v>
      </c>
      <c r="G30" s="445">
        <f>'[1]Reformulated Income statement'!F83</f>
        <v>-183285.49497490653</v>
      </c>
      <c r="H30" s="446">
        <f>'[1]Reformulated Income statement'!G83</f>
        <v>-259417.05862974713</v>
      </c>
      <c r="I30" s="331"/>
      <c r="J30" s="331"/>
      <c r="K30" s="331"/>
      <c r="L30" s="331"/>
      <c r="M30" s="331"/>
    </row>
    <row r="31" spans="1:13" ht="14.4">
      <c r="A31" s="331"/>
      <c r="B31" s="430"/>
      <c r="C31" s="517" t="s">
        <v>605</v>
      </c>
      <c r="D31" s="517"/>
      <c r="E31" s="444">
        <f>'[1]Reformulated Income statement'!D44</f>
        <v>380173</v>
      </c>
      <c r="F31" s="445">
        <f>'[1]Reformulated Income statement'!E44</f>
        <v>715581</v>
      </c>
      <c r="G31" s="445">
        <f>'[1]Reformulated Income statement'!F44</f>
        <v>1016001</v>
      </c>
      <c r="H31" s="446">
        <f>'[1]Reformulated Income statement'!G44</f>
        <v>798349</v>
      </c>
      <c r="I31" s="331"/>
      <c r="J31" s="331"/>
      <c r="K31" s="331"/>
      <c r="L31" s="331"/>
      <c r="M31" s="331"/>
    </row>
    <row r="32" spans="1:13" ht="14.4">
      <c r="A32" s="331"/>
      <c r="B32" s="430"/>
      <c r="C32" s="517" t="s">
        <v>578</v>
      </c>
      <c r="D32" s="517"/>
      <c r="E32" s="444">
        <f>'[1]Reformulated Income statement'!D46</f>
        <v>304750</v>
      </c>
      <c r="F32" s="445">
        <f>'[1]Reformulated Income statement'!E46</f>
        <v>513808</v>
      </c>
      <c r="G32" s="445">
        <f>'[1]Reformulated Income statement'!F46</f>
        <v>776780</v>
      </c>
      <c r="H32" s="446">
        <f>'[1]Reformulated Income statement'!G46</f>
        <v>672289</v>
      </c>
      <c r="I32" s="331"/>
      <c r="J32" s="331"/>
      <c r="K32" s="331"/>
      <c r="L32" s="331"/>
      <c r="M32" s="331"/>
    </row>
    <row r="33" spans="1:13" ht="14.4">
      <c r="A33" s="331"/>
      <c r="B33" s="430"/>
      <c r="C33" s="517" t="s">
        <v>582</v>
      </c>
      <c r="D33" s="517"/>
      <c r="E33" s="444">
        <f>'[1]Reformulated Income statement'!D50</f>
        <v>304750</v>
      </c>
      <c r="F33" s="445">
        <f>'[1]Reformulated Income statement'!E50</f>
        <v>513808</v>
      </c>
      <c r="G33" s="445">
        <f>'[1]Reformulated Income statement'!F50</f>
        <v>776780</v>
      </c>
      <c r="H33" s="446">
        <f>'[1]Reformulated Income statement'!G50</f>
        <v>672289</v>
      </c>
      <c r="I33" s="331"/>
      <c r="J33" s="331"/>
      <c r="K33" s="331"/>
      <c r="L33" s="331"/>
      <c r="M33" s="331"/>
    </row>
    <row r="34" spans="1:13" ht="14.4">
      <c r="A34" s="331"/>
      <c r="B34" s="430"/>
      <c r="C34" s="517" t="s">
        <v>641</v>
      </c>
      <c r="D34" s="517"/>
      <c r="E34" s="444"/>
      <c r="F34" s="445"/>
      <c r="G34" s="445"/>
      <c r="H34" s="446"/>
      <c r="I34" s="331"/>
      <c r="J34" s="331"/>
      <c r="K34" s="331"/>
      <c r="L34" s="331"/>
      <c r="M34" s="331"/>
    </row>
    <row r="35" spans="1:13" ht="14.4">
      <c r="A35" s="331"/>
      <c r="B35" s="430"/>
      <c r="C35" s="517" t="s">
        <v>642</v>
      </c>
      <c r="D35" s="517"/>
      <c r="E35" s="444">
        <f>'[1]Reformulated balance sheet'!D58</f>
        <v>164109</v>
      </c>
      <c r="F35" s="445">
        <f>'[1]Reformulated balance sheet'!E58</f>
        <v>292008</v>
      </c>
      <c r="G35" s="445">
        <f>'[1]Reformulated balance sheet'!F58</f>
        <v>341765</v>
      </c>
      <c r="H35" s="446">
        <f>'[1]Reformulated balance sheet'!G58</f>
        <v>598899</v>
      </c>
      <c r="I35" s="331"/>
      <c r="J35" s="331"/>
      <c r="K35" s="331"/>
      <c r="L35" s="331"/>
      <c r="M35" s="331"/>
    </row>
    <row r="36" spans="1:13" ht="14.4">
      <c r="A36" s="331"/>
      <c r="B36" s="430"/>
      <c r="C36" s="517" t="s">
        <v>643</v>
      </c>
      <c r="D36" s="517"/>
      <c r="E36" s="444">
        <f>'[1]Income statement'!C27</f>
        <v>44125</v>
      </c>
      <c r="F36" s="445">
        <f>'[1]Income statement'!D27</f>
        <v>50982</v>
      </c>
      <c r="G36" s="445">
        <f>'[1]Income statement'!E27</f>
        <v>65514</v>
      </c>
      <c r="H36" s="446">
        <f>'[1]Income statement'!F27</f>
        <v>104667</v>
      </c>
      <c r="I36" s="331"/>
      <c r="J36" s="331"/>
      <c r="K36" s="331"/>
      <c r="L36" s="331"/>
      <c r="M36" s="331"/>
    </row>
    <row r="37" spans="1:13" ht="14.4">
      <c r="A37" s="331"/>
      <c r="B37" s="430"/>
      <c r="C37" s="517" t="s">
        <v>644</v>
      </c>
      <c r="D37" s="517"/>
      <c r="E37" s="444"/>
      <c r="F37" s="445">
        <f t="shared" ref="F37:H37" si="5">F36-E36</f>
        <v>6857</v>
      </c>
      <c r="G37" s="445">
        <f t="shared" si="5"/>
        <v>14532</v>
      </c>
      <c r="H37" s="446">
        <f t="shared" si="5"/>
        <v>39153</v>
      </c>
      <c r="I37" s="331"/>
      <c r="J37" s="331"/>
      <c r="K37" s="331"/>
      <c r="L37" s="331"/>
      <c r="M37" s="331"/>
    </row>
    <row r="38" spans="1:13" ht="14.4">
      <c r="A38" s="331"/>
      <c r="B38" s="430"/>
      <c r="C38" s="517" t="s">
        <v>645</v>
      </c>
      <c r="D38" s="517"/>
      <c r="E38" s="444">
        <f t="shared" ref="E38:H38" si="6">E35-E36</f>
        <v>119984</v>
      </c>
      <c r="F38" s="445">
        <f t="shared" si="6"/>
        <v>241026</v>
      </c>
      <c r="G38" s="445">
        <f t="shared" si="6"/>
        <v>276251</v>
      </c>
      <c r="H38" s="446">
        <f t="shared" si="6"/>
        <v>494232</v>
      </c>
      <c r="I38" s="331"/>
      <c r="J38" s="331"/>
      <c r="K38" s="331"/>
      <c r="L38" s="331"/>
      <c r="M38" s="331"/>
    </row>
    <row r="39" spans="1:13" thickBot="1">
      <c r="A39" s="331"/>
      <c r="B39" s="439"/>
      <c r="C39" s="518" t="s">
        <v>646</v>
      </c>
      <c r="D39" s="518"/>
      <c r="E39" s="450"/>
      <c r="F39" s="451">
        <f>('[1]Reformulated balance sheet'!E21+'[1]Reformulated balance sheet'!D21)/2</f>
        <v>8118024.5</v>
      </c>
      <c r="G39" s="451">
        <f>('[1]Reformulated balance sheet'!F21+'[1]Reformulated balance sheet'!E21)/2</f>
        <v>9931290</v>
      </c>
      <c r="H39" s="452">
        <f>('[1]Reformulated balance sheet'!G21+'[1]Reformulated balance sheet'!F21)/2</f>
        <v>11433914</v>
      </c>
      <c r="I39" s="331"/>
      <c r="J39" s="331"/>
      <c r="K39" s="331"/>
      <c r="L39" s="331"/>
      <c r="M39" s="331"/>
    </row>
    <row r="40" spans="1:13" ht="14.4">
      <c r="A40" s="331"/>
      <c r="B40" s="334"/>
      <c r="C40" s="335"/>
      <c r="D40" s="335"/>
      <c r="E40" s="336"/>
      <c r="F40" s="363"/>
      <c r="G40" s="363"/>
      <c r="H40" s="363"/>
      <c r="I40" s="331"/>
      <c r="J40" s="331"/>
      <c r="K40" s="331"/>
      <c r="L40" s="331"/>
      <c r="M40" s="331"/>
    </row>
    <row r="41" spans="1:13" ht="14.4">
      <c r="A41" s="331"/>
      <c r="B41" s="453" t="s">
        <v>711</v>
      </c>
      <c r="C41" s="453"/>
      <c r="D41" s="453"/>
      <c r="E41" s="453"/>
      <c r="F41" s="453"/>
      <c r="G41" s="453"/>
      <c r="H41" s="453"/>
      <c r="I41" s="331"/>
      <c r="J41" s="331"/>
      <c r="K41" s="331"/>
      <c r="L41" s="331"/>
      <c r="M41" s="331"/>
    </row>
    <row r="42" spans="1:13" ht="14.4">
      <c r="A42" s="331"/>
      <c r="B42" s="102"/>
      <c r="C42" s="102"/>
      <c r="D42" s="102"/>
      <c r="E42" s="102"/>
      <c r="F42" s="364"/>
      <c r="G42" s="364"/>
      <c r="H42" s="364"/>
      <c r="I42" s="331"/>
      <c r="J42" s="331"/>
      <c r="K42" s="331"/>
      <c r="L42" s="331"/>
      <c r="M42" s="331"/>
    </row>
    <row r="43" spans="1:13" ht="18.600000000000001" thickBot="1">
      <c r="A43" s="331"/>
      <c r="B43" s="189" t="s">
        <v>609</v>
      </c>
      <c r="C43" s="102"/>
      <c r="D43" s="102"/>
      <c r="E43" s="102"/>
      <c r="F43" s="364"/>
      <c r="G43" s="364"/>
      <c r="H43" s="364"/>
      <c r="I43" s="331"/>
      <c r="J43" s="331"/>
      <c r="K43" s="331"/>
      <c r="L43" s="331"/>
      <c r="M43" s="331"/>
    </row>
    <row r="44" spans="1:13" ht="15.6">
      <c r="A44" s="331"/>
      <c r="B44" s="519" t="s">
        <v>647</v>
      </c>
      <c r="C44" s="520"/>
      <c r="D44" s="520"/>
      <c r="E44" s="520"/>
      <c r="F44" s="520"/>
      <c r="G44" s="520"/>
      <c r="H44" s="521"/>
      <c r="I44" s="331"/>
      <c r="J44" s="331"/>
      <c r="K44" s="331"/>
      <c r="L44" s="331"/>
      <c r="M44" s="331"/>
    </row>
    <row r="45" spans="1:13" ht="15.6">
      <c r="A45" s="331"/>
      <c r="B45" s="233"/>
      <c r="C45" s="234" t="s">
        <v>648</v>
      </c>
      <c r="D45" s="522" t="s">
        <v>649</v>
      </c>
      <c r="E45" s="522"/>
      <c r="F45" s="365">
        <v>2022</v>
      </c>
      <c r="G45" s="366">
        <v>2023</v>
      </c>
      <c r="H45" s="367">
        <v>2024</v>
      </c>
      <c r="I45" s="331"/>
      <c r="J45" s="331"/>
      <c r="K45" s="331"/>
      <c r="L45" s="331"/>
      <c r="M45" s="331"/>
    </row>
    <row r="46" spans="1:13" s="339" customFormat="1" ht="14.4">
      <c r="A46" s="259"/>
      <c r="B46" s="337" t="s">
        <v>565</v>
      </c>
      <c r="C46" s="338" t="s">
        <v>650</v>
      </c>
      <c r="D46" s="488" t="s">
        <v>651</v>
      </c>
      <c r="E46" s="488"/>
      <c r="F46" s="368">
        <f t="shared" ref="F46:H46" si="7">(F22-E22)/E22</f>
        <v>0.3699413327747112</v>
      </c>
      <c r="G46" s="368">
        <f t="shared" si="7"/>
        <v>0.14315441808695345</v>
      </c>
      <c r="H46" s="369">
        <f t="shared" si="7"/>
        <v>3.2961882084760863E-2</v>
      </c>
      <c r="I46" s="259"/>
      <c r="J46" s="259"/>
      <c r="K46" s="259"/>
      <c r="L46" s="259"/>
      <c r="M46" s="259"/>
    </row>
    <row r="47" spans="1:13" s="339" customFormat="1" ht="14.4">
      <c r="A47" s="259"/>
      <c r="B47" s="337" t="s">
        <v>652</v>
      </c>
      <c r="C47" s="338" t="s">
        <v>653</v>
      </c>
      <c r="D47" s="488" t="s">
        <v>654</v>
      </c>
      <c r="E47" s="488"/>
      <c r="F47" s="368">
        <f t="shared" ref="F47:H47" si="8">(F25-E25)/E25</f>
        <v>-6.2167768079850561</v>
      </c>
      <c r="G47" s="368">
        <f t="shared" si="8"/>
        <v>-0.79441394358040285</v>
      </c>
      <c r="H47" s="369">
        <f t="shared" si="8"/>
        <v>12.505731759417991</v>
      </c>
      <c r="I47" s="259"/>
      <c r="J47" s="259"/>
      <c r="K47" s="259"/>
      <c r="L47" s="259"/>
      <c r="M47" s="259"/>
    </row>
    <row r="48" spans="1:13" s="339" customFormat="1" ht="14.4">
      <c r="A48" s="259"/>
      <c r="B48" s="337" t="s">
        <v>570</v>
      </c>
      <c r="C48" s="338" t="s">
        <v>655</v>
      </c>
      <c r="D48" s="488" t="s">
        <v>656</v>
      </c>
      <c r="E48" s="488"/>
      <c r="F48" s="370">
        <f t="shared" ref="F48:H48" si="9">(F27-E27)/E27</f>
        <v>0.45620636869084963</v>
      </c>
      <c r="G48" s="370">
        <f t="shared" si="9"/>
        <v>0.50395405072370769</v>
      </c>
      <c r="H48" s="371">
        <f t="shared" si="9"/>
        <v>-2.9539064255090793E-2</v>
      </c>
      <c r="I48" s="259"/>
      <c r="J48" s="259"/>
      <c r="K48" s="259"/>
      <c r="L48" s="259"/>
      <c r="M48" s="259"/>
    </row>
    <row r="49" spans="1:13" s="339" customFormat="1" thickBot="1">
      <c r="A49" s="259"/>
      <c r="B49" s="340" t="s">
        <v>614</v>
      </c>
      <c r="C49" s="341" t="s">
        <v>657</v>
      </c>
      <c r="D49" s="490" t="s">
        <v>658</v>
      </c>
      <c r="E49" s="490"/>
      <c r="F49" s="372">
        <f t="shared" ref="F49:H49" si="10">(F6-E6)/E6</f>
        <v>0.21615679494888757</v>
      </c>
      <c r="G49" s="372">
        <f t="shared" si="10"/>
        <v>0.18835864241912584</v>
      </c>
      <c r="H49" s="373">
        <f t="shared" si="10"/>
        <v>0.25067854100750231</v>
      </c>
      <c r="I49" s="259"/>
      <c r="J49" s="259"/>
      <c r="K49" s="259"/>
      <c r="L49" s="259"/>
      <c r="M49" s="259"/>
    </row>
    <row r="50" spans="1:13" ht="14.4">
      <c r="A50" s="331"/>
      <c r="B50" s="334"/>
      <c r="C50" s="335"/>
      <c r="D50" s="335"/>
      <c r="E50" s="335"/>
      <c r="F50" s="374"/>
      <c r="G50" s="374"/>
      <c r="H50" s="374"/>
      <c r="I50" s="331"/>
      <c r="J50" s="331"/>
      <c r="K50" s="331"/>
      <c r="L50" s="331"/>
      <c r="M50" s="331"/>
    </row>
    <row r="51" spans="1:13" ht="14.4">
      <c r="A51" s="331"/>
      <c r="B51" s="453" t="s">
        <v>714</v>
      </c>
      <c r="C51" s="453"/>
      <c r="D51" s="453"/>
      <c r="E51" s="453"/>
      <c r="F51" s="453"/>
      <c r="G51" s="453"/>
      <c r="H51" s="453"/>
      <c r="I51" s="331"/>
      <c r="J51" s="331"/>
      <c r="K51" s="331"/>
      <c r="L51" s="331"/>
      <c r="M51" s="331"/>
    </row>
    <row r="52" spans="1:13" thickBot="1">
      <c r="A52" s="331"/>
      <c r="B52" s="102"/>
      <c r="C52" s="102"/>
      <c r="D52" s="102"/>
      <c r="E52" s="102"/>
      <c r="F52" s="364"/>
      <c r="G52" s="364"/>
      <c r="H52" s="364"/>
      <c r="I52" s="331"/>
      <c r="J52" s="331"/>
      <c r="K52" s="331"/>
      <c r="L52" s="331"/>
      <c r="M52" s="331"/>
    </row>
    <row r="53" spans="1:13" ht="18">
      <c r="A53" s="331"/>
      <c r="B53" s="505" t="s">
        <v>659</v>
      </c>
      <c r="C53" s="506"/>
      <c r="D53" s="506"/>
      <c r="E53" s="506"/>
      <c r="F53" s="506"/>
      <c r="G53" s="506"/>
      <c r="H53" s="507"/>
      <c r="I53" s="331"/>
      <c r="J53" s="331"/>
      <c r="K53" s="331"/>
      <c r="L53" s="331"/>
      <c r="M53" s="331"/>
    </row>
    <row r="54" spans="1:13" ht="15.6">
      <c r="A54" s="331"/>
      <c r="B54" s="235"/>
      <c r="C54" s="236"/>
      <c r="D54" s="508"/>
      <c r="E54" s="508"/>
      <c r="F54" s="375">
        <v>2022</v>
      </c>
      <c r="G54" s="375">
        <v>2023</v>
      </c>
      <c r="H54" s="376">
        <v>2024</v>
      </c>
      <c r="I54" s="331"/>
      <c r="J54" s="331"/>
      <c r="K54" s="331"/>
      <c r="L54" s="331"/>
      <c r="M54" s="331"/>
    </row>
    <row r="55" spans="1:13" s="339" customFormat="1" ht="14.4">
      <c r="A55" s="259"/>
      <c r="B55" s="342" t="s">
        <v>660</v>
      </c>
      <c r="C55" s="343"/>
      <c r="D55" s="488"/>
      <c r="E55" s="495"/>
      <c r="F55" s="377"/>
      <c r="G55" s="377"/>
      <c r="H55" s="378"/>
      <c r="I55" s="259"/>
      <c r="J55" s="259"/>
      <c r="K55" s="259"/>
      <c r="L55" s="259"/>
      <c r="M55" s="259"/>
    </row>
    <row r="56" spans="1:13" s="339" customFormat="1" ht="14.4">
      <c r="A56" s="259"/>
      <c r="B56" s="337" t="s">
        <v>661</v>
      </c>
      <c r="C56" s="338" t="s">
        <v>582</v>
      </c>
      <c r="D56" s="488" t="s">
        <v>625</v>
      </c>
      <c r="E56" s="495"/>
      <c r="F56" s="379">
        <f t="shared" ref="F56:H56" si="11">F33/F15</f>
        <v>0.41984878161584516</v>
      </c>
      <c r="G56" s="379">
        <f t="shared" si="11"/>
        <v>0.41559328163964543</v>
      </c>
      <c r="H56" s="380">
        <f t="shared" si="11"/>
        <v>0.25920860079236696</v>
      </c>
      <c r="I56" s="259"/>
      <c r="J56" s="259"/>
      <c r="K56" s="259"/>
      <c r="L56" s="259"/>
      <c r="M56" s="259"/>
    </row>
    <row r="57" spans="1:13" s="339" customFormat="1" ht="14.4">
      <c r="A57" s="259"/>
      <c r="B57" s="337" t="s">
        <v>662</v>
      </c>
      <c r="C57" s="338" t="s">
        <v>591</v>
      </c>
      <c r="D57" s="488" t="s">
        <v>620</v>
      </c>
      <c r="E57" s="495"/>
      <c r="F57" s="368">
        <f t="shared" ref="F57:H57" si="12">F27/F11</f>
        <v>0.11516638219189097</v>
      </c>
      <c r="G57" s="368">
        <f t="shared" si="12"/>
        <v>0.14422903796103295</v>
      </c>
      <c r="H57" s="369">
        <f t="shared" si="12"/>
        <v>0.11452182607222892</v>
      </c>
      <c r="I57" s="259"/>
      <c r="J57" s="259"/>
      <c r="K57" s="259"/>
      <c r="L57" s="259"/>
      <c r="M57" s="259"/>
    </row>
    <row r="58" spans="1:13" s="339" customFormat="1" ht="14.4">
      <c r="A58" s="259"/>
      <c r="B58" s="337" t="s">
        <v>663</v>
      </c>
      <c r="C58" s="338" t="s">
        <v>582</v>
      </c>
      <c r="D58" s="488" t="s">
        <v>646</v>
      </c>
      <c r="E58" s="495"/>
      <c r="F58" s="368">
        <f t="shared" ref="F58:H58" si="13">F33/F39</f>
        <v>6.3292245545698955E-2</v>
      </c>
      <c r="G58" s="368">
        <f t="shared" si="13"/>
        <v>7.8215418138026377E-2</v>
      </c>
      <c r="H58" s="369">
        <f t="shared" si="13"/>
        <v>5.8797800997978468E-2</v>
      </c>
      <c r="I58" s="259"/>
      <c r="J58" s="259"/>
      <c r="K58" s="259"/>
      <c r="L58" s="259"/>
      <c r="M58" s="259"/>
    </row>
    <row r="59" spans="1:13" s="339" customFormat="1" ht="14.4">
      <c r="A59" s="259"/>
      <c r="B59" s="337" t="s">
        <v>664</v>
      </c>
      <c r="C59" s="338" t="s">
        <v>582</v>
      </c>
      <c r="D59" s="488" t="s">
        <v>565</v>
      </c>
      <c r="E59" s="495"/>
      <c r="F59" s="368">
        <f t="shared" ref="F59:H59" si="14">F33/F22</f>
        <v>4.058288692589497E-2</v>
      </c>
      <c r="G59" s="368">
        <f t="shared" si="14"/>
        <v>5.3670446956161973E-2</v>
      </c>
      <c r="H59" s="369">
        <f t="shared" si="14"/>
        <v>4.4968550261922847E-2</v>
      </c>
      <c r="I59" s="259"/>
      <c r="J59" s="259"/>
      <c r="K59" s="259"/>
      <c r="L59" s="259"/>
      <c r="M59" s="259"/>
    </row>
    <row r="60" spans="1:13" s="339" customFormat="1" ht="14.4">
      <c r="A60" s="259"/>
      <c r="B60" s="337" t="s">
        <v>665</v>
      </c>
      <c r="C60" s="338" t="s">
        <v>565</v>
      </c>
      <c r="D60" s="488" t="s">
        <v>646</v>
      </c>
      <c r="E60" s="495"/>
      <c r="F60" s="381">
        <f t="shared" ref="F60:H60" si="15">F22/F39</f>
        <v>1.5595796736016256</v>
      </c>
      <c r="G60" s="381">
        <f t="shared" si="15"/>
        <v>1.4573274972334913</v>
      </c>
      <c r="H60" s="382">
        <f t="shared" si="15"/>
        <v>1.3075316116598392</v>
      </c>
      <c r="I60" s="259"/>
      <c r="J60" s="259"/>
      <c r="K60" s="259"/>
      <c r="L60" s="259"/>
      <c r="M60" s="259"/>
    </row>
    <row r="61" spans="1:13" s="339" customFormat="1" thickBot="1">
      <c r="A61" s="259"/>
      <c r="B61" s="340" t="s">
        <v>666</v>
      </c>
      <c r="C61" s="341" t="s">
        <v>646</v>
      </c>
      <c r="D61" s="490" t="s">
        <v>625</v>
      </c>
      <c r="E61" s="496"/>
      <c r="F61" s="372">
        <f t="shared" ref="F61:H61" si="16">F39/F15</f>
        <v>6.6334947985484476</v>
      </c>
      <c r="G61" s="372">
        <f t="shared" si="16"/>
        <v>5.3134444785074209</v>
      </c>
      <c r="H61" s="373">
        <f t="shared" si="16"/>
        <v>4.4084744053825897</v>
      </c>
      <c r="I61" s="259"/>
      <c r="J61" s="259"/>
      <c r="K61" s="259"/>
      <c r="L61" s="259"/>
      <c r="M61" s="259"/>
    </row>
    <row r="62" spans="1:13" ht="14.4" hidden="1">
      <c r="A62" s="331"/>
      <c r="B62" s="344" t="s">
        <v>667</v>
      </c>
      <c r="C62" s="345"/>
      <c r="D62" s="346"/>
      <c r="E62" s="347"/>
      <c r="F62" s="383">
        <v>0</v>
      </c>
      <c r="G62" s="384">
        <v>0</v>
      </c>
      <c r="H62" s="383">
        <v>0</v>
      </c>
      <c r="I62" s="331"/>
      <c r="J62" s="331"/>
      <c r="K62" s="331"/>
      <c r="L62" s="331"/>
      <c r="M62" s="331"/>
    </row>
    <row r="63" spans="1:13" ht="14.4">
      <c r="A63" s="331"/>
      <c r="B63" s="348"/>
      <c r="C63" s="349"/>
      <c r="D63" s="349"/>
      <c r="E63" s="349"/>
      <c r="F63" s="385"/>
      <c r="G63" s="385"/>
      <c r="H63" s="385"/>
      <c r="I63" s="331"/>
      <c r="J63" s="331"/>
      <c r="K63" s="331"/>
      <c r="L63" s="331"/>
      <c r="M63" s="331"/>
    </row>
    <row r="64" spans="1:13" ht="14.4">
      <c r="A64" s="331"/>
      <c r="B64" s="453" t="s">
        <v>715</v>
      </c>
      <c r="C64" s="453"/>
      <c r="D64" s="453"/>
      <c r="E64" s="453"/>
      <c r="F64" s="453"/>
      <c r="G64" s="453"/>
      <c r="H64" s="453"/>
      <c r="I64" s="331"/>
      <c r="J64" s="331"/>
      <c r="K64" s="331"/>
      <c r="L64" s="331"/>
      <c r="M64" s="331"/>
    </row>
    <row r="65" spans="1:13" thickBot="1">
      <c r="A65" s="331"/>
      <c r="B65" s="102"/>
      <c r="C65" s="102"/>
      <c r="D65" s="102"/>
      <c r="E65" s="102"/>
      <c r="F65" s="364"/>
      <c r="G65" s="364"/>
      <c r="H65" s="364"/>
      <c r="I65" s="331"/>
      <c r="J65" s="331"/>
      <c r="K65" s="331"/>
      <c r="L65" s="331"/>
      <c r="M65" s="331"/>
    </row>
    <row r="66" spans="1:13" ht="18">
      <c r="A66" s="331"/>
      <c r="B66" s="514" t="s">
        <v>712</v>
      </c>
      <c r="C66" s="515"/>
      <c r="D66" s="515"/>
      <c r="E66" s="515"/>
      <c r="F66" s="515"/>
      <c r="G66" s="515"/>
      <c r="H66" s="516"/>
      <c r="I66" s="331"/>
      <c r="J66" s="331"/>
      <c r="K66" s="331"/>
      <c r="L66" s="331"/>
      <c r="M66" s="331"/>
    </row>
    <row r="67" spans="1:13" ht="17.399999999999999">
      <c r="A67" s="331"/>
      <c r="B67" s="241"/>
      <c r="C67" s="513" t="s">
        <v>668</v>
      </c>
      <c r="D67" s="513"/>
      <c r="E67" s="513"/>
      <c r="F67" s="386"/>
      <c r="G67" s="386"/>
      <c r="H67" s="387"/>
      <c r="I67" s="331"/>
      <c r="J67" s="331"/>
      <c r="K67" s="331"/>
      <c r="L67" s="331"/>
      <c r="M67" s="331"/>
    </row>
    <row r="68" spans="1:13" ht="15.6">
      <c r="A68" s="331"/>
      <c r="B68" s="243"/>
      <c r="C68" s="236" t="s">
        <v>648</v>
      </c>
      <c r="D68" s="508" t="s">
        <v>649</v>
      </c>
      <c r="E68" s="508"/>
      <c r="F68" s="375">
        <v>2022</v>
      </c>
      <c r="G68" s="375">
        <v>2023</v>
      </c>
      <c r="H68" s="376">
        <v>2024</v>
      </c>
      <c r="I68" s="331"/>
      <c r="J68" s="331"/>
      <c r="K68" s="331"/>
      <c r="L68" s="331"/>
      <c r="M68" s="331"/>
    </row>
    <row r="69" spans="1:13" s="339" customFormat="1" ht="14.4">
      <c r="A69" s="259"/>
      <c r="B69" s="337" t="s">
        <v>661</v>
      </c>
      <c r="C69" s="488" t="s">
        <v>669</v>
      </c>
      <c r="D69" s="495"/>
      <c r="E69" s="495"/>
      <c r="F69" s="379">
        <f t="shared" ref="F69:H69" si="17">F57+(F72*F73)</f>
        <v>0.4198487816158451</v>
      </c>
      <c r="G69" s="379">
        <f t="shared" si="17"/>
        <v>0.41559328163964548</v>
      </c>
      <c r="H69" s="380">
        <f t="shared" si="17"/>
        <v>0.25920860079236696</v>
      </c>
      <c r="I69" s="259"/>
      <c r="J69" s="259"/>
      <c r="K69" s="259"/>
      <c r="L69" s="259"/>
      <c r="M69" s="259"/>
    </row>
    <row r="70" spans="1:13" s="339" customFormat="1" ht="14.4">
      <c r="A70" s="259"/>
      <c r="B70" s="337" t="s">
        <v>662</v>
      </c>
      <c r="C70" s="338" t="s">
        <v>591</v>
      </c>
      <c r="D70" s="488" t="s">
        <v>670</v>
      </c>
      <c r="E70" s="495"/>
      <c r="F70" s="368">
        <f t="shared" ref="F70:H70" si="18">F27/F11</f>
        <v>0.11516638219189097</v>
      </c>
      <c r="G70" s="368">
        <f t="shared" si="18"/>
        <v>0.14422903796103295</v>
      </c>
      <c r="H70" s="369">
        <f t="shared" si="18"/>
        <v>0.11452182607222892</v>
      </c>
      <c r="I70" s="259"/>
      <c r="J70" s="259"/>
      <c r="K70" s="259"/>
      <c r="L70" s="259"/>
      <c r="M70" s="259"/>
    </row>
    <row r="71" spans="1:13" s="339" customFormat="1" ht="14.4">
      <c r="A71" s="259"/>
      <c r="B71" s="337" t="s">
        <v>671</v>
      </c>
      <c r="C71" s="338" t="s">
        <v>640</v>
      </c>
      <c r="D71" s="488" t="s">
        <v>623</v>
      </c>
      <c r="E71" s="495"/>
      <c r="F71" s="368">
        <f t="shared" ref="F71:H71" si="19">-F30/F14</f>
        <v>2.8837355651903689E-2</v>
      </c>
      <c r="G71" s="368">
        <f t="shared" si="19"/>
        <v>3.8284600325581994E-2</v>
      </c>
      <c r="H71" s="369">
        <f t="shared" si="19"/>
        <v>4.6809297878688913E-2</v>
      </c>
      <c r="I71" s="259"/>
      <c r="J71" s="259"/>
      <c r="K71" s="259"/>
      <c r="L71" s="259"/>
      <c r="M71" s="259"/>
    </row>
    <row r="72" spans="1:13" s="339" customFormat="1" ht="14.4">
      <c r="A72" s="259"/>
      <c r="B72" s="337" t="s">
        <v>672</v>
      </c>
      <c r="C72" s="338" t="s">
        <v>623</v>
      </c>
      <c r="D72" s="488" t="s">
        <v>625</v>
      </c>
      <c r="E72" s="495"/>
      <c r="F72" s="381">
        <f t="shared" ref="F72:H72" si="20">F14/F15</f>
        <v>3.5293158238362206</v>
      </c>
      <c r="G72" s="381">
        <f t="shared" si="20"/>
        <v>2.5613826429695354</v>
      </c>
      <c r="H72" s="382">
        <f t="shared" si="20"/>
        <v>2.136779981196177</v>
      </c>
      <c r="I72" s="259"/>
      <c r="J72" s="259"/>
      <c r="K72" s="259"/>
      <c r="L72" s="259"/>
      <c r="M72" s="259"/>
    </row>
    <row r="73" spans="1:13" s="339" customFormat="1" ht="14.4">
      <c r="A73" s="259"/>
      <c r="B73" s="337" t="s">
        <v>673</v>
      </c>
      <c r="C73" s="488" t="s">
        <v>674</v>
      </c>
      <c r="D73" s="495"/>
      <c r="E73" s="495"/>
      <c r="F73" s="368">
        <f t="shared" ref="F73:H73" si="21">F70-F71</f>
        <v>8.632902653998728E-2</v>
      </c>
      <c r="G73" s="368">
        <f t="shared" si="21"/>
        <v>0.10594443763545096</v>
      </c>
      <c r="H73" s="369">
        <f t="shared" si="21"/>
        <v>6.7712528193540011E-2</v>
      </c>
      <c r="I73" s="259"/>
      <c r="J73" s="259"/>
      <c r="K73" s="259"/>
      <c r="L73" s="259"/>
      <c r="M73" s="259"/>
    </row>
    <row r="74" spans="1:13" s="339" customFormat="1" ht="14.4">
      <c r="A74" s="259"/>
      <c r="B74" s="337" t="s">
        <v>675</v>
      </c>
      <c r="C74" s="338"/>
      <c r="D74" s="488"/>
      <c r="E74" s="495"/>
      <c r="F74" s="368">
        <f t="shared" ref="F74:H74" si="22">F72*F73</f>
        <v>0.30468239942395414</v>
      </c>
      <c r="G74" s="368">
        <f t="shared" si="22"/>
        <v>0.2713642436786125</v>
      </c>
      <c r="H74" s="369">
        <f t="shared" si="22"/>
        <v>0.14468677472013802</v>
      </c>
      <c r="I74" s="259"/>
      <c r="J74" s="259"/>
      <c r="K74" s="259"/>
      <c r="L74" s="259"/>
      <c r="M74" s="259"/>
    </row>
    <row r="75" spans="1:13" s="339" customFormat="1" thickBot="1">
      <c r="A75" s="259"/>
      <c r="B75" s="340" t="s">
        <v>676</v>
      </c>
      <c r="C75" s="341" t="s">
        <v>582</v>
      </c>
      <c r="D75" s="490" t="s">
        <v>578</v>
      </c>
      <c r="E75" s="496"/>
      <c r="F75" s="388"/>
      <c r="G75" s="388"/>
      <c r="H75" s="389"/>
      <c r="I75" s="259"/>
      <c r="J75" s="259"/>
      <c r="K75" s="259"/>
      <c r="L75" s="259"/>
      <c r="M75" s="259"/>
    </row>
    <row r="76" spans="1:13" ht="14.4" hidden="1">
      <c r="A76" s="331"/>
      <c r="B76" s="350" t="s">
        <v>667</v>
      </c>
      <c r="C76" s="347"/>
      <c r="D76" s="509"/>
      <c r="E76" s="512"/>
      <c r="F76" s="384">
        <v>0</v>
      </c>
      <c r="G76" s="383">
        <v>0</v>
      </c>
      <c r="H76" s="383">
        <v>0</v>
      </c>
      <c r="I76" s="331"/>
      <c r="J76" s="331"/>
      <c r="K76" s="331"/>
      <c r="L76" s="331"/>
      <c r="M76" s="331"/>
    </row>
    <row r="77" spans="1:13" ht="14.4">
      <c r="A77" s="331"/>
      <c r="B77" s="331"/>
      <c r="C77" s="331"/>
      <c r="D77" s="331"/>
      <c r="E77" s="331"/>
      <c r="F77" s="390"/>
      <c r="G77" s="390"/>
      <c r="H77" s="390"/>
      <c r="I77" s="331"/>
      <c r="J77" s="331"/>
      <c r="K77" s="331"/>
      <c r="L77" s="331"/>
      <c r="M77" s="331"/>
    </row>
    <row r="78" spans="1:13" thickBot="1">
      <c r="A78" s="331"/>
      <c r="B78" s="331"/>
      <c r="C78" s="331"/>
      <c r="D78" s="331"/>
      <c r="E78" s="331"/>
      <c r="F78" s="390"/>
      <c r="G78" s="390"/>
      <c r="H78" s="390"/>
      <c r="I78" s="331"/>
      <c r="J78" s="331"/>
      <c r="K78" s="331"/>
      <c r="L78" s="331"/>
      <c r="M78" s="331"/>
    </row>
    <row r="79" spans="1:13" ht="18">
      <c r="A79" s="331"/>
      <c r="B79" s="514" t="s">
        <v>713</v>
      </c>
      <c r="C79" s="515"/>
      <c r="D79" s="515"/>
      <c r="E79" s="515"/>
      <c r="F79" s="515"/>
      <c r="G79" s="515"/>
      <c r="H79" s="516"/>
      <c r="I79" s="331"/>
      <c r="J79" s="331"/>
      <c r="K79" s="331"/>
      <c r="L79" s="331"/>
      <c r="M79" s="331"/>
    </row>
    <row r="80" spans="1:13" ht="17.399999999999999">
      <c r="A80" s="331"/>
      <c r="B80" s="241"/>
      <c r="C80" s="513" t="s">
        <v>668</v>
      </c>
      <c r="D80" s="513"/>
      <c r="E80" s="513"/>
      <c r="F80" s="386"/>
      <c r="G80" s="386"/>
      <c r="H80" s="387"/>
      <c r="I80" s="331"/>
      <c r="J80" s="331"/>
      <c r="K80" s="331"/>
      <c r="L80" s="331"/>
      <c r="M80" s="331"/>
    </row>
    <row r="81" spans="1:13" ht="15.6">
      <c r="A81" s="331"/>
      <c r="B81" s="243"/>
      <c r="C81" s="236" t="s">
        <v>648</v>
      </c>
      <c r="D81" s="508" t="s">
        <v>649</v>
      </c>
      <c r="E81" s="508"/>
      <c r="F81" s="375">
        <v>2022</v>
      </c>
      <c r="G81" s="375">
        <v>2023</v>
      </c>
      <c r="H81" s="376">
        <v>2024</v>
      </c>
      <c r="I81" s="331"/>
      <c r="J81" s="331"/>
      <c r="K81" s="331"/>
      <c r="L81" s="331"/>
      <c r="M81" s="331"/>
    </row>
    <row r="82" spans="1:13" s="339" customFormat="1" ht="14.4">
      <c r="A82" s="259"/>
      <c r="B82" s="237" t="s">
        <v>662</v>
      </c>
      <c r="C82" s="238"/>
      <c r="D82" s="499"/>
      <c r="E82" s="499"/>
      <c r="F82" s="250"/>
      <c r="G82" s="250"/>
      <c r="H82" s="251"/>
      <c r="I82" s="259"/>
      <c r="J82" s="259"/>
      <c r="K82" s="259"/>
      <c r="L82" s="259"/>
      <c r="M82" s="259"/>
    </row>
    <row r="83" spans="1:13" s="339" customFormat="1" ht="14.4">
      <c r="A83" s="259"/>
      <c r="B83" s="237" t="s">
        <v>678</v>
      </c>
      <c r="C83" s="238" t="s">
        <v>591</v>
      </c>
      <c r="D83" s="499" t="s">
        <v>565</v>
      </c>
      <c r="E83" s="499"/>
      <c r="F83" s="250">
        <f t="shared" ref="F83:H83" si="23">F27/F22</f>
        <v>5.0420641814021359E-2</v>
      </c>
      <c r="G83" s="250">
        <f t="shared" si="23"/>
        <v>6.633428283747278E-2</v>
      </c>
      <c r="H83" s="251">
        <f t="shared" si="23"/>
        <v>6.2320625098476724E-2</v>
      </c>
      <c r="I83" s="259"/>
      <c r="J83" s="259"/>
      <c r="K83" s="259"/>
      <c r="L83" s="259"/>
      <c r="M83" s="259"/>
    </row>
    <row r="84" spans="1:13" s="339" customFormat="1" ht="14.4">
      <c r="A84" s="259"/>
      <c r="B84" s="237" t="s">
        <v>679</v>
      </c>
      <c r="C84" s="238" t="s">
        <v>679</v>
      </c>
      <c r="D84" s="499" t="s">
        <v>670</v>
      </c>
      <c r="E84" s="499"/>
      <c r="F84" s="250"/>
      <c r="G84" s="250"/>
      <c r="H84" s="251"/>
      <c r="I84" s="259"/>
      <c r="J84" s="259"/>
      <c r="K84" s="259"/>
      <c r="L84" s="259"/>
      <c r="M84" s="259"/>
    </row>
    <row r="85" spans="1:13" s="339" customFormat="1" ht="14.4">
      <c r="A85" s="259"/>
      <c r="B85" s="237" t="s">
        <v>680</v>
      </c>
      <c r="C85" s="238" t="s">
        <v>634</v>
      </c>
      <c r="D85" s="499" t="s">
        <v>670</v>
      </c>
      <c r="E85" s="499"/>
      <c r="F85" s="250">
        <f t="shared" ref="F85:H85" si="24">F25/F11</f>
        <v>5.7260411328135565E-2</v>
      </c>
      <c r="G85" s="250">
        <f t="shared" si="24"/>
        <v>9.8025831314517003E-3</v>
      </c>
      <c r="H85" s="251">
        <f t="shared" si="24"/>
        <v>0.10832187110774388</v>
      </c>
      <c r="I85" s="259"/>
      <c r="J85" s="259"/>
      <c r="K85" s="259"/>
      <c r="L85" s="259"/>
      <c r="M85" s="259"/>
    </row>
    <row r="86" spans="1:13" s="339" customFormat="1" ht="14.4">
      <c r="A86" s="259"/>
      <c r="B86" s="237" t="s">
        <v>681</v>
      </c>
      <c r="C86" s="238" t="s">
        <v>634</v>
      </c>
      <c r="D86" s="499" t="s">
        <v>565</v>
      </c>
      <c r="E86" s="499"/>
      <c r="F86" s="250">
        <f t="shared" ref="F86:H86" si="25">F25/F22</f>
        <v>2.5069005683350708E-2</v>
      </c>
      <c r="G86" s="250">
        <f t="shared" si="25"/>
        <v>4.5084355492632285E-3</v>
      </c>
      <c r="H86" s="251">
        <f t="shared" si="25"/>
        <v>5.8946726146451467E-2</v>
      </c>
      <c r="I86" s="259"/>
      <c r="J86" s="259"/>
      <c r="K86" s="259"/>
      <c r="L86" s="259"/>
      <c r="M86" s="259"/>
    </row>
    <row r="87" spans="1:13" s="339" customFormat="1" ht="14.4">
      <c r="A87" s="259"/>
      <c r="B87" s="237" t="s">
        <v>682</v>
      </c>
      <c r="C87" s="238" t="s">
        <v>565</v>
      </c>
      <c r="D87" s="499" t="s">
        <v>670</v>
      </c>
      <c r="E87" s="499"/>
      <c r="F87" s="391">
        <f t="shared" ref="F87:H87" si="26">F22/F11</f>
        <v>2.2841117853415467</v>
      </c>
      <c r="G87" s="391">
        <f t="shared" si="26"/>
        <v>2.1742759820651409</v>
      </c>
      <c r="H87" s="392">
        <f t="shared" si="26"/>
        <v>1.837623192823657</v>
      </c>
      <c r="I87" s="259"/>
      <c r="J87" s="259"/>
      <c r="K87" s="259"/>
      <c r="L87" s="259"/>
      <c r="M87" s="259"/>
    </row>
    <row r="88" spans="1:13" s="339" customFormat="1" ht="14.4">
      <c r="A88" s="259"/>
      <c r="B88" s="246"/>
      <c r="C88" s="511" t="s">
        <v>683</v>
      </c>
      <c r="D88" s="511"/>
      <c r="E88" s="511"/>
      <c r="F88" s="247"/>
      <c r="G88" s="247"/>
      <c r="H88" s="248"/>
      <c r="I88" s="259"/>
      <c r="J88" s="259"/>
      <c r="K88" s="259"/>
      <c r="L88" s="259"/>
      <c r="M88" s="259"/>
    </row>
    <row r="89" spans="1:13" s="339" customFormat="1" ht="14.4">
      <c r="A89" s="259"/>
      <c r="B89" s="237" t="s">
        <v>671</v>
      </c>
      <c r="C89" s="238"/>
      <c r="D89" s="499"/>
      <c r="E89" s="499"/>
      <c r="F89" s="250"/>
      <c r="G89" s="250"/>
      <c r="H89" s="251"/>
      <c r="I89" s="259"/>
      <c r="J89" s="259"/>
      <c r="K89" s="259"/>
      <c r="L89" s="259"/>
      <c r="M89" s="259"/>
    </row>
    <row r="90" spans="1:13" s="339" customFormat="1" ht="14.4">
      <c r="A90" s="259"/>
      <c r="B90" s="237" t="s">
        <v>684</v>
      </c>
      <c r="C90" s="249" t="s">
        <v>638</v>
      </c>
      <c r="D90" s="499" t="s">
        <v>622</v>
      </c>
      <c r="E90" s="499"/>
      <c r="F90" s="250">
        <f t="shared" ref="F90:H90" si="27">F29/F13</f>
        <v>-3.7502249562799427E-2</v>
      </c>
      <c r="G90" s="250">
        <f t="shared" si="27"/>
        <v>-4.6041694537667446E-2</v>
      </c>
      <c r="H90" s="251">
        <f t="shared" si="27"/>
        <v>-6.2305193895026853E-2</v>
      </c>
      <c r="I90" s="259"/>
      <c r="J90" s="259"/>
      <c r="K90" s="259"/>
      <c r="L90" s="259"/>
      <c r="M90" s="259"/>
    </row>
    <row r="91" spans="1:13" s="339" customFormat="1" ht="14.25" customHeight="1">
      <c r="A91" s="259"/>
      <c r="B91" s="237" t="s">
        <v>685</v>
      </c>
      <c r="C91" s="238" t="s">
        <v>622</v>
      </c>
      <c r="D91" s="499" t="s">
        <v>623</v>
      </c>
      <c r="E91" s="499"/>
      <c r="F91" s="250">
        <f t="shared" ref="F91:H91" si="28">F13/F14</f>
        <v>1.0723066703834456</v>
      </c>
      <c r="G91" s="250">
        <f t="shared" si="28"/>
        <v>1.0890465210372042</v>
      </c>
      <c r="H91" s="251">
        <f t="shared" si="28"/>
        <v>1.1071074811730823</v>
      </c>
      <c r="I91" s="259"/>
      <c r="J91" s="259"/>
      <c r="K91" s="259"/>
      <c r="L91" s="259"/>
      <c r="M91" s="259"/>
    </row>
    <row r="92" spans="1:13" s="339" customFormat="1" ht="14.4">
      <c r="A92" s="259"/>
      <c r="B92" s="237" t="s">
        <v>686</v>
      </c>
      <c r="C92" s="238" t="s">
        <v>637</v>
      </c>
      <c r="D92" s="499" t="s">
        <v>621</v>
      </c>
      <c r="E92" s="499"/>
      <c r="F92" s="250">
        <f t="shared" ref="F92:H92" si="29">F28/F12</f>
        <v>8.2611946391891223E-4</v>
      </c>
      <c r="G92" s="250">
        <f t="shared" si="29"/>
        <v>7.8112996430963245E-4</v>
      </c>
      <c r="H92" s="251">
        <f t="shared" si="29"/>
        <v>0.1251117144086949</v>
      </c>
      <c r="I92" s="259"/>
      <c r="J92" s="259"/>
      <c r="K92" s="259"/>
      <c r="L92" s="259"/>
      <c r="M92" s="259"/>
    </row>
    <row r="93" spans="1:13" s="339" customFormat="1" ht="14.25" customHeight="1" thickBot="1">
      <c r="A93" s="259"/>
      <c r="B93" s="239" t="s">
        <v>687</v>
      </c>
      <c r="C93" s="240" t="s">
        <v>621</v>
      </c>
      <c r="D93" s="500" t="s">
        <v>623</v>
      </c>
      <c r="E93" s="500"/>
      <c r="F93" s="393">
        <f t="shared" ref="F93:H93" si="30">F12/F14</f>
        <v>7.230667038344564E-2</v>
      </c>
      <c r="G93" s="393">
        <f t="shared" si="30"/>
        <v>8.9046521037204174E-2</v>
      </c>
      <c r="H93" s="394">
        <f t="shared" si="30"/>
        <v>0.10710748117308223</v>
      </c>
      <c r="I93" s="259"/>
      <c r="J93" s="259"/>
      <c r="K93" s="259"/>
      <c r="L93" s="259"/>
      <c r="M93" s="259"/>
    </row>
    <row r="94" spans="1:13" ht="14.4" hidden="1">
      <c r="A94" s="331"/>
      <c r="B94" s="350" t="s">
        <v>667</v>
      </c>
      <c r="C94" s="347"/>
      <c r="D94" s="509"/>
      <c r="E94" s="510"/>
      <c r="F94" s="383">
        <v>0</v>
      </c>
      <c r="G94" s="383">
        <v>0</v>
      </c>
      <c r="H94" s="383">
        <v>0</v>
      </c>
      <c r="I94" s="331"/>
      <c r="J94" s="331"/>
      <c r="K94" s="331"/>
      <c r="L94" s="331"/>
      <c r="M94" s="331"/>
    </row>
    <row r="95" spans="1:13" ht="14.4">
      <c r="A95" s="331"/>
      <c r="B95" s="331"/>
      <c r="C95" s="331"/>
      <c r="D95" s="331"/>
      <c r="E95" s="331"/>
      <c r="F95" s="390"/>
      <c r="G95" s="390"/>
      <c r="H95" s="390"/>
      <c r="I95" s="331"/>
      <c r="J95" s="331"/>
      <c r="K95" s="331"/>
      <c r="L95" s="331"/>
      <c r="M95" s="331"/>
    </row>
    <row r="96" spans="1:13" ht="14.4">
      <c r="A96" s="331"/>
      <c r="B96" s="453" t="s">
        <v>716</v>
      </c>
      <c r="C96" s="453"/>
      <c r="D96" s="453"/>
      <c r="E96" s="453"/>
      <c r="F96" s="453"/>
      <c r="G96" s="453"/>
      <c r="H96" s="453"/>
      <c r="I96" s="331"/>
      <c r="J96" s="331"/>
      <c r="K96" s="331"/>
      <c r="L96" s="331"/>
      <c r="M96" s="331"/>
    </row>
    <row r="97" spans="1:13" thickBot="1">
      <c r="A97" s="331"/>
      <c r="B97" s="102"/>
      <c r="C97" s="102"/>
      <c r="D97" s="102"/>
      <c r="E97" s="102"/>
      <c r="F97" s="364"/>
      <c r="G97" s="364"/>
      <c r="H97" s="364"/>
      <c r="I97" s="331"/>
      <c r="J97" s="331"/>
      <c r="K97" s="331"/>
      <c r="L97" s="331"/>
      <c r="M97" s="331"/>
    </row>
    <row r="98" spans="1:13" ht="18">
      <c r="A98" s="331"/>
      <c r="B98" s="505" t="s">
        <v>688</v>
      </c>
      <c r="C98" s="506"/>
      <c r="D98" s="506"/>
      <c r="E98" s="506"/>
      <c r="F98" s="506"/>
      <c r="G98" s="506"/>
      <c r="H98" s="507"/>
      <c r="I98" s="331"/>
      <c r="J98" s="331"/>
      <c r="K98" s="331"/>
      <c r="L98" s="331"/>
      <c r="M98" s="331"/>
    </row>
    <row r="99" spans="1:13" ht="18">
      <c r="A99" s="331"/>
      <c r="B99" s="324"/>
      <c r="C99" s="504" t="s">
        <v>677</v>
      </c>
      <c r="D99" s="504"/>
      <c r="E99" s="504"/>
      <c r="F99" s="244"/>
      <c r="G99" s="244"/>
      <c r="H99" s="245"/>
      <c r="I99" s="331"/>
      <c r="J99" s="331"/>
      <c r="K99" s="331"/>
      <c r="L99" s="331"/>
      <c r="M99" s="331"/>
    </row>
    <row r="100" spans="1:13" ht="18">
      <c r="A100" s="331"/>
      <c r="B100" s="324"/>
      <c r="C100" s="236" t="s">
        <v>648</v>
      </c>
      <c r="D100" s="508" t="s">
        <v>649</v>
      </c>
      <c r="E100" s="508"/>
      <c r="F100" s="375">
        <v>2022</v>
      </c>
      <c r="G100" s="375">
        <v>2023</v>
      </c>
      <c r="H100" s="376">
        <v>2024</v>
      </c>
      <c r="I100" s="331"/>
      <c r="J100" s="331"/>
      <c r="K100" s="331"/>
      <c r="L100" s="331"/>
      <c r="M100" s="331"/>
    </row>
    <row r="101" spans="1:13" s="339" customFormat="1" ht="14.4">
      <c r="A101" s="259"/>
      <c r="B101" s="246"/>
      <c r="C101" s="458"/>
      <c r="D101" s="458"/>
      <c r="E101" s="458"/>
      <c r="F101" s="247"/>
      <c r="G101" s="247"/>
      <c r="H101" s="248"/>
      <c r="I101" s="259"/>
      <c r="J101" s="259"/>
      <c r="K101" s="259"/>
      <c r="L101" s="259"/>
      <c r="M101" s="259"/>
    </row>
    <row r="102" spans="1:13" s="339" customFormat="1" ht="14.4">
      <c r="A102" s="259"/>
      <c r="B102" s="237" t="s">
        <v>567</v>
      </c>
      <c r="C102" s="238" t="s">
        <v>567</v>
      </c>
      <c r="D102" s="499" t="s">
        <v>689</v>
      </c>
      <c r="E102" s="499"/>
      <c r="F102" s="250">
        <f t="shared" ref="F102:H102" si="31">F24/F22</f>
        <v>0.50445425397288268</v>
      </c>
      <c r="G102" s="250">
        <f t="shared" si="31"/>
        <v>0.46158373903883482</v>
      </c>
      <c r="H102" s="251">
        <f t="shared" si="31"/>
        <v>0.53440789169164515</v>
      </c>
      <c r="I102" s="259"/>
      <c r="J102" s="259"/>
      <c r="K102" s="259"/>
      <c r="L102" s="259"/>
      <c r="M102" s="259"/>
    </row>
    <row r="103" spans="1:13" s="339" customFormat="1" ht="14.4">
      <c r="A103" s="259"/>
      <c r="B103" s="237" t="s">
        <v>690</v>
      </c>
      <c r="C103" s="238" t="s">
        <v>690</v>
      </c>
      <c r="D103" s="499" t="s">
        <v>565</v>
      </c>
      <c r="E103" s="499"/>
      <c r="F103" s="250"/>
      <c r="G103" s="250"/>
      <c r="H103" s="251"/>
      <c r="I103" s="259"/>
      <c r="J103" s="259"/>
      <c r="K103" s="259"/>
      <c r="L103" s="259"/>
      <c r="M103" s="259"/>
    </row>
    <row r="104" spans="1:13" s="339" customFormat="1" ht="14.4">
      <c r="A104" s="259"/>
      <c r="B104" s="246"/>
      <c r="C104" s="458" t="s">
        <v>691</v>
      </c>
      <c r="D104" s="458"/>
      <c r="E104" s="458"/>
      <c r="F104" s="247">
        <v>2022</v>
      </c>
      <c r="G104" s="247">
        <v>2023</v>
      </c>
      <c r="H104" s="248">
        <v>2024</v>
      </c>
      <c r="I104" s="259"/>
      <c r="J104" s="259"/>
      <c r="K104" s="259"/>
      <c r="L104" s="259"/>
      <c r="M104" s="259"/>
    </row>
    <row r="105" spans="1:13" s="339" customFormat="1" ht="14.4">
      <c r="A105" s="259"/>
      <c r="B105" s="237" t="s">
        <v>692</v>
      </c>
      <c r="C105" s="238" t="s">
        <v>689</v>
      </c>
      <c r="D105" s="499" t="s">
        <v>629</v>
      </c>
      <c r="E105" s="499"/>
      <c r="F105" s="252">
        <f t="shared" ref="F105:H105" si="32">F22/F19</f>
        <v>10.290968634210198</v>
      </c>
      <c r="G105" s="252">
        <f t="shared" si="32"/>
        <v>10.984635853369111</v>
      </c>
      <c r="H105" s="253">
        <f t="shared" si="32"/>
        <v>13.192297391799269</v>
      </c>
      <c r="I105" s="259"/>
      <c r="J105" s="259"/>
      <c r="K105" s="259"/>
      <c r="L105" s="259"/>
      <c r="M105" s="259"/>
    </row>
    <row r="106" spans="1:13" s="339" customFormat="1" ht="14.4">
      <c r="A106" s="259"/>
      <c r="B106" s="237" t="s">
        <v>693</v>
      </c>
      <c r="C106" s="238" t="s">
        <v>566</v>
      </c>
      <c r="D106" s="499" t="s">
        <v>630</v>
      </c>
      <c r="E106" s="499"/>
      <c r="F106" s="252">
        <f t="shared" ref="F106:H106" si="33">ABS(F23/F20)</f>
        <v>3.1068623530649764</v>
      </c>
      <c r="G106" s="252">
        <f t="shared" si="33"/>
        <v>3.0887634897994491</v>
      </c>
      <c r="H106" s="253">
        <f t="shared" si="33"/>
        <v>2.3776368075975651</v>
      </c>
      <c r="I106" s="259"/>
      <c r="J106" s="259"/>
      <c r="K106" s="259"/>
      <c r="L106" s="259"/>
      <c r="M106" s="259"/>
    </row>
    <row r="107" spans="1:13" s="339" customFormat="1" ht="14.4">
      <c r="A107" s="259"/>
      <c r="B107" s="237" t="s">
        <v>694</v>
      </c>
      <c r="C107" s="238" t="s">
        <v>566</v>
      </c>
      <c r="D107" s="499" t="s">
        <v>631</v>
      </c>
      <c r="E107" s="499"/>
      <c r="F107" s="252">
        <f t="shared" ref="F107:H107" si="34">ABS(F23/F21)</f>
        <v>4.4909698632764892</v>
      </c>
      <c r="G107" s="252">
        <f t="shared" si="34"/>
        <v>4.3114964663221009</v>
      </c>
      <c r="H107" s="253">
        <f t="shared" si="34"/>
        <v>4.4849909600398972</v>
      </c>
      <c r="I107" s="259"/>
      <c r="J107" s="259"/>
      <c r="K107" s="259"/>
      <c r="L107" s="259"/>
      <c r="M107" s="259"/>
    </row>
    <row r="108" spans="1:13" s="339" customFormat="1" ht="14.4">
      <c r="A108" s="259"/>
      <c r="B108" s="237" t="s">
        <v>695</v>
      </c>
      <c r="C108" s="238">
        <v>365</v>
      </c>
      <c r="D108" s="499" t="s">
        <v>696</v>
      </c>
      <c r="E108" s="499"/>
      <c r="F108" s="252">
        <f t="shared" ref="F108:H110" si="35">365/F105</f>
        <v>35.467992661704649</v>
      </c>
      <c r="G108" s="252">
        <f t="shared" si="35"/>
        <v>33.22822939897916</v>
      </c>
      <c r="H108" s="253">
        <f t="shared" si="35"/>
        <v>27.667660086778749</v>
      </c>
      <c r="I108" s="259"/>
      <c r="J108" s="259"/>
      <c r="K108" s="259"/>
      <c r="L108" s="259"/>
      <c r="M108" s="259"/>
    </row>
    <row r="109" spans="1:13" s="339" customFormat="1" ht="14.4">
      <c r="A109" s="259"/>
      <c r="B109" s="237" t="s">
        <v>697</v>
      </c>
      <c r="C109" s="238">
        <v>365</v>
      </c>
      <c r="D109" s="499" t="s">
        <v>698</v>
      </c>
      <c r="E109" s="499"/>
      <c r="F109" s="252">
        <f t="shared" si="35"/>
        <v>117.48187029912054</v>
      </c>
      <c r="G109" s="252">
        <f t="shared" si="35"/>
        <v>118.17026496376359</v>
      </c>
      <c r="H109" s="253">
        <f t="shared" si="35"/>
        <v>153.51377419531406</v>
      </c>
      <c r="I109" s="259"/>
      <c r="J109" s="259"/>
      <c r="K109" s="259"/>
      <c r="L109" s="259"/>
      <c r="M109" s="259"/>
    </row>
    <row r="110" spans="1:13" s="339" customFormat="1" ht="14.4">
      <c r="A110" s="259"/>
      <c r="B110" s="237" t="s">
        <v>699</v>
      </c>
      <c r="C110" s="238">
        <v>365</v>
      </c>
      <c r="D110" s="499" t="s">
        <v>700</v>
      </c>
      <c r="E110" s="499"/>
      <c r="F110" s="252">
        <f t="shared" si="35"/>
        <v>81.274203816123133</v>
      </c>
      <c r="G110" s="252">
        <f t="shared" si="35"/>
        <v>84.657381225076435</v>
      </c>
      <c r="H110" s="253">
        <f t="shared" si="35"/>
        <v>81.382549764772122</v>
      </c>
      <c r="I110" s="259"/>
      <c r="J110" s="259"/>
      <c r="K110" s="259"/>
      <c r="L110" s="259"/>
      <c r="M110" s="259"/>
    </row>
    <row r="111" spans="1:13" s="339" customFormat="1" ht="14.4">
      <c r="A111" s="259"/>
      <c r="B111" s="237" t="s">
        <v>701</v>
      </c>
      <c r="C111" s="499" t="s">
        <v>702</v>
      </c>
      <c r="D111" s="499"/>
      <c r="E111" s="499"/>
      <c r="F111" s="252">
        <f t="shared" ref="F111:H111" si="36">F108+F109</f>
        <v>152.94986296082519</v>
      </c>
      <c r="G111" s="252">
        <f t="shared" si="36"/>
        <v>151.39849436274275</v>
      </c>
      <c r="H111" s="253">
        <f t="shared" si="36"/>
        <v>181.18143428209279</v>
      </c>
      <c r="I111" s="259"/>
      <c r="J111" s="259"/>
      <c r="K111" s="259"/>
      <c r="L111" s="259"/>
      <c r="M111" s="259"/>
    </row>
    <row r="112" spans="1:13" s="339" customFormat="1" ht="14.4">
      <c r="A112" s="259"/>
      <c r="B112" s="237" t="s">
        <v>703</v>
      </c>
      <c r="C112" s="499" t="s">
        <v>704</v>
      </c>
      <c r="D112" s="499"/>
      <c r="E112" s="499"/>
      <c r="F112" s="252">
        <f t="shared" ref="F112:H112" si="37">F111-F110</f>
        <v>71.675659144702053</v>
      </c>
      <c r="G112" s="252">
        <f t="shared" si="37"/>
        <v>66.741113137666318</v>
      </c>
      <c r="H112" s="253">
        <f t="shared" si="37"/>
        <v>99.798884517320673</v>
      </c>
      <c r="I112" s="259"/>
      <c r="J112" s="259"/>
      <c r="K112" s="259"/>
      <c r="L112" s="259"/>
      <c r="M112" s="259"/>
    </row>
    <row r="113" spans="1:13" s="339" customFormat="1" ht="14.4">
      <c r="A113" s="259"/>
      <c r="B113" s="237" t="s">
        <v>705</v>
      </c>
      <c r="C113" s="238" t="s">
        <v>706</v>
      </c>
      <c r="D113" s="499" t="s">
        <v>707</v>
      </c>
      <c r="E113" s="499"/>
      <c r="F113" s="250">
        <f t="shared" ref="F113:H113" si="38">(F35-E35)/E35</f>
        <v>0.77935396596164741</v>
      </c>
      <c r="G113" s="250">
        <f t="shared" si="38"/>
        <v>0.17039601654749184</v>
      </c>
      <c r="H113" s="251">
        <f t="shared" si="38"/>
        <v>0.75237078109227096</v>
      </c>
      <c r="I113" s="259"/>
      <c r="J113" s="259"/>
      <c r="K113" s="259"/>
      <c r="L113" s="259"/>
      <c r="M113" s="259"/>
    </row>
    <row r="114" spans="1:13" s="339" customFormat="1" ht="14.4">
      <c r="A114" s="259"/>
      <c r="B114" s="237" t="s">
        <v>708</v>
      </c>
      <c r="C114" s="238" t="s">
        <v>643</v>
      </c>
      <c r="D114" s="499" t="s">
        <v>642</v>
      </c>
      <c r="E114" s="499"/>
      <c r="F114" s="250">
        <f t="shared" ref="F114:H114" si="39">F36/F35</f>
        <v>0.17459110709295636</v>
      </c>
      <c r="G114" s="250">
        <f t="shared" si="39"/>
        <v>0.19169312246719236</v>
      </c>
      <c r="H114" s="251">
        <f t="shared" si="39"/>
        <v>0.17476569505041753</v>
      </c>
      <c r="I114" s="259"/>
      <c r="J114" s="259"/>
      <c r="K114" s="259"/>
      <c r="L114" s="259"/>
      <c r="M114" s="259"/>
    </row>
    <row r="115" spans="1:13" s="339" customFormat="1" ht="14.4">
      <c r="A115" s="259"/>
      <c r="B115" s="237" t="s">
        <v>709</v>
      </c>
      <c r="C115" s="238" t="s">
        <v>644</v>
      </c>
      <c r="D115" s="499" t="s">
        <v>642</v>
      </c>
      <c r="E115" s="499"/>
      <c r="F115" s="250">
        <f t="shared" ref="F115:H115" si="40">F37/F35</f>
        <v>2.3482233363469492E-2</v>
      </c>
      <c r="G115" s="250">
        <f t="shared" si="40"/>
        <v>4.2520445335244982E-2</v>
      </c>
      <c r="H115" s="251">
        <f t="shared" si="40"/>
        <v>6.5374963057209981E-2</v>
      </c>
      <c r="I115" s="259"/>
      <c r="J115" s="259"/>
      <c r="K115" s="259"/>
      <c r="L115" s="259"/>
      <c r="M115" s="259"/>
    </row>
    <row r="116" spans="1:13" s="339" customFormat="1" thickBot="1">
      <c r="A116" s="259"/>
      <c r="B116" s="239" t="s">
        <v>710</v>
      </c>
      <c r="C116" s="240" t="s">
        <v>642</v>
      </c>
      <c r="D116" s="500" t="s">
        <v>643</v>
      </c>
      <c r="E116" s="500"/>
      <c r="F116" s="254">
        <f t="shared" ref="F116:H116" si="41">F35/F36</f>
        <v>5.7276685889137342</v>
      </c>
      <c r="G116" s="254">
        <f t="shared" si="41"/>
        <v>5.2166712458405833</v>
      </c>
      <c r="H116" s="255">
        <f t="shared" si="41"/>
        <v>5.7219467453925308</v>
      </c>
      <c r="I116" s="259"/>
      <c r="J116" s="259"/>
      <c r="K116" s="259"/>
      <c r="L116" s="259"/>
      <c r="M116" s="259"/>
    </row>
    <row r="117" spans="1:13" ht="14.4">
      <c r="A117" s="331"/>
      <c r="B117" s="331"/>
      <c r="C117" s="331"/>
      <c r="D117" s="331"/>
      <c r="E117" s="331"/>
      <c r="F117" s="390"/>
      <c r="G117" s="390"/>
      <c r="H117" s="390"/>
      <c r="I117" s="331"/>
      <c r="J117" s="331"/>
      <c r="K117" s="331"/>
      <c r="L117" s="331"/>
      <c r="M117" s="331"/>
    </row>
    <row r="118" spans="1:13" ht="14.4">
      <c r="A118" s="331"/>
      <c r="B118" s="331"/>
      <c r="C118" s="331"/>
      <c r="D118" s="331"/>
      <c r="E118" s="331"/>
      <c r="F118" s="390"/>
      <c r="G118" s="390"/>
      <c r="H118" s="390"/>
      <c r="I118" s="331"/>
      <c r="J118" s="331"/>
      <c r="K118" s="331"/>
      <c r="L118" s="331"/>
      <c r="M118" s="331"/>
    </row>
    <row r="119" spans="1:13" ht="15.6">
      <c r="A119" s="331"/>
      <c r="B119" s="454" t="s">
        <v>817</v>
      </c>
      <c r="C119" s="454"/>
      <c r="D119" s="454"/>
      <c r="E119" s="454"/>
      <c r="F119" s="454"/>
      <c r="G119" s="454"/>
      <c r="H119" s="454"/>
      <c r="I119" s="331"/>
      <c r="J119" s="331"/>
      <c r="K119" s="331"/>
      <c r="L119" s="331"/>
      <c r="M119" s="331"/>
    </row>
    <row r="120" spans="1:13" thickBot="1">
      <c r="A120" s="331"/>
      <c r="B120" s="325"/>
      <c r="C120" s="325"/>
      <c r="D120" s="325"/>
      <c r="E120" s="325"/>
      <c r="F120" s="395"/>
      <c r="G120" s="395"/>
      <c r="H120" s="395"/>
      <c r="I120" s="331"/>
      <c r="J120" s="331"/>
      <c r="K120" s="331"/>
      <c r="L120" s="331"/>
      <c r="M120" s="331"/>
    </row>
    <row r="121" spans="1:13" ht="18">
      <c r="A121" s="331"/>
      <c r="B121" s="501" t="s">
        <v>746</v>
      </c>
      <c r="C121" s="502"/>
      <c r="D121" s="502"/>
      <c r="E121" s="502"/>
      <c r="F121" s="502"/>
      <c r="G121" s="502"/>
      <c r="H121" s="503"/>
      <c r="I121" s="331"/>
      <c r="J121" s="331"/>
      <c r="K121" s="331"/>
      <c r="L121" s="331"/>
      <c r="M121" s="331"/>
    </row>
    <row r="122" spans="1:13" ht="17.399999999999999">
      <c r="A122" s="331"/>
      <c r="B122" s="326"/>
      <c r="C122" s="455"/>
      <c r="D122" s="456"/>
      <c r="E122" s="242">
        <v>2021</v>
      </c>
      <c r="F122" s="386">
        <v>2022</v>
      </c>
      <c r="G122" s="386">
        <v>2023</v>
      </c>
      <c r="H122" s="387">
        <v>2024</v>
      </c>
      <c r="I122" s="331"/>
      <c r="J122" s="331"/>
      <c r="K122" s="331"/>
      <c r="L122" s="331"/>
      <c r="M122" s="331"/>
    </row>
    <row r="123" spans="1:13" s="339" customFormat="1" ht="14.4">
      <c r="A123" s="259"/>
      <c r="B123" s="337"/>
      <c r="C123" s="488" t="s">
        <v>747</v>
      </c>
      <c r="D123" s="495"/>
      <c r="E123" s="351">
        <f>'[1]Reformulated balance sheet'!D17</f>
        <v>6128</v>
      </c>
      <c r="F123" s="396">
        <f>'[1]Reformulated balance sheet'!E17</f>
        <v>9204</v>
      </c>
      <c r="G123" s="396">
        <f>'[1]Reformulated balance sheet'!F17</f>
        <v>16924</v>
      </c>
      <c r="H123" s="397">
        <f>'[1]Reformulated balance sheet'!G17</f>
        <v>29539</v>
      </c>
      <c r="I123" s="259"/>
      <c r="J123" s="259"/>
      <c r="K123" s="259"/>
      <c r="L123" s="259"/>
      <c r="M123" s="259"/>
    </row>
    <row r="124" spans="1:13" s="339" customFormat="1" ht="14.4">
      <c r="A124" s="259"/>
      <c r="B124" s="337"/>
      <c r="C124" s="488" t="s">
        <v>748</v>
      </c>
      <c r="D124" s="495"/>
      <c r="E124" s="351">
        <f>'[1]Reformulated balance sheet'!D66</f>
        <v>50270</v>
      </c>
      <c r="F124" s="396">
        <f>'[1]Reformulated balance sheet'!E66</f>
        <v>50270</v>
      </c>
      <c r="G124" s="396">
        <f>'[1]Reformulated balance sheet'!F66</f>
        <v>50270</v>
      </c>
      <c r="H124" s="397">
        <f>'[1]Reformulated balance sheet'!G66</f>
        <v>50270</v>
      </c>
      <c r="I124" s="259"/>
      <c r="J124" s="259"/>
      <c r="K124" s="259"/>
      <c r="L124" s="259"/>
      <c r="M124" s="259"/>
    </row>
    <row r="125" spans="1:13" s="339" customFormat="1" ht="14.4">
      <c r="A125" s="259"/>
      <c r="B125" s="337"/>
      <c r="C125" s="488" t="s">
        <v>749</v>
      </c>
      <c r="D125" s="495"/>
      <c r="E125" s="351">
        <f>'[1]Reformulated balance sheet'!D56</f>
        <v>1192500</v>
      </c>
      <c r="F125" s="396">
        <f>'[1]Reformulated balance sheet'!E56</f>
        <v>1268047</v>
      </c>
      <c r="G125" s="396">
        <f>'[1]Reformulated balance sheet'!F56</f>
        <v>1367114</v>
      </c>
      <c r="H125" s="397">
        <f>'[1]Reformulated balance sheet'!G56</f>
        <v>899391</v>
      </c>
      <c r="I125" s="259"/>
      <c r="J125" s="259"/>
      <c r="K125" s="259"/>
      <c r="L125" s="259"/>
      <c r="M125" s="259"/>
    </row>
    <row r="126" spans="1:13" s="339" customFormat="1" ht="14.4">
      <c r="A126" s="259"/>
      <c r="B126" s="337"/>
      <c r="C126" s="488" t="s">
        <v>750</v>
      </c>
      <c r="D126" s="495"/>
      <c r="E126" s="351">
        <f>'[1]Reformulated balance sheet'!D19</f>
        <v>6687559</v>
      </c>
      <c r="F126" s="396">
        <f>'[1]Reformulated balance sheet'!E19</f>
        <v>8148901</v>
      </c>
      <c r="G126" s="396">
        <f>'[1]Reformulated balance sheet'!F19</f>
        <v>9344039</v>
      </c>
      <c r="H126" s="397">
        <f>'[1]Reformulated balance sheet'!G19</f>
        <v>10393577</v>
      </c>
      <c r="I126" s="259"/>
      <c r="J126" s="259"/>
      <c r="K126" s="259"/>
      <c r="L126" s="259"/>
      <c r="M126" s="259"/>
    </row>
    <row r="127" spans="1:13" s="339" customFormat="1" ht="14.4">
      <c r="A127" s="259"/>
      <c r="B127" s="337"/>
      <c r="C127" s="488" t="s">
        <v>470</v>
      </c>
      <c r="D127" s="495"/>
      <c r="E127" s="351">
        <f>'[1]Reformulated balance sheet'!D59</f>
        <v>347004</v>
      </c>
      <c r="F127" s="396">
        <f>'[1]Reformulated balance sheet'!E59</f>
        <v>493113</v>
      </c>
      <c r="G127" s="396">
        <f>'[1]Reformulated balance sheet'!F59</f>
        <v>1140269</v>
      </c>
      <c r="H127" s="397">
        <f>'[1]Reformulated balance sheet'!G59</f>
        <v>947664</v>
      </c>
      <c r="I127" s="259"/>
      <c r="J127" s="259"/>
      <c r="K127" s="259"/>
      <c r="L127" s="259"/>
      <c r="M127" s="259"/>
    </row>
    <row r="128" spans="1:13" s="339" customFormat="1" ht="14.4">
      <c r="A128" s="259"/>
      <c r="B128" s="337"/>
      <c r="C128" s="498" t="s">
        <v>731</v>
      </c>
      <c r="D128" s="495"/>
      <c r="E128" s="352">
        <f>'[1]Balance sheet'!C14+'[1]Balance sheet'!C15+'[1]Balance sheet'!C18</f>
        <v>340853</v>
      </c>
      <c r="F128" s="398">
        <f>'[1]Balance sheet'!D14+'[1]Balance sheet'!D15+'[1]Balance sheet'!D18</f>
        <v>494303</v>
      </c>
      <c r="G128" s="398">
        <f>'[1]Balance sheet'!E14+'[1]Balance sheet'!E15+'[1]Balance sheet'!E18</f>
        <v>638594</v>
      </c>
      <c r="H128" s="399">
        <f>'[1]Balance sheet'!F14+'[1]Balance sheet'!F15+'[1]Balance sheet'!F18</f>
        <v>569389</v>
      </c>
      <c r="I128" s="259"/>
      <c r="J128" s="259"/>
      <c r="K128" s="259"/>
      <c r="L128" s="259"/>
      <c r="M128" s="259"/>
    </row>
    <row r="129" spans="1:15" s="339" customFormat="1" ht="14.4">
      <c r="A129" s="259"/>
      <c r="B129" s="337"/>
      <c r="C129" s="488" t="s">
        <v>469</v>
      </c>
      <c r="D129" s="495"/>
      <c r="E129" s="351">
        <f>'[1]Reformulated balance sheet'!D60</f>
        <v>1625</v>
      </c>
      <c r="F129" s="396">
        <f>'[1]Reformulated balance sheet'!E60</f>
        <v>1190</v>
      </c>
      <c r="G129" s="396">
        <f>'[1]Reformulated balance sheet'!F60</f>
        <v>755</v>
      </c>
      <c r="H129" s="397">
        <f>'[1]Reformulated balance sheet'!G60</f>
        <v>320</v>
      </c>
      <c r="I129" s="259"/>
      <c r="J129" s="259"/>
      <c r="K129" s="259"/>
      <c r="L129" s="259"/>
      <c r="M129" s="259"/>
    </row>
    <row r="130" spans="1:15" s="339" customFormat="1" ht="14.4">
      <c r="A130" s="259"/>
      <c r="B130" s="337"/>
      <c r="C130" s="488" t="s">
        <v>751</v>
      </c>
      <c r="D130" s="495"/>
      <c r="E130" s="351">
        <f>'[1]Reformulated balance sheet'!D68</f>
        <v>7250567</v>
      </c>
      <c r="F130" s="396">
        <f>'[1]Reformulated balance sheet'!E68</f>
        <v>8985482</v>
      </c>
      <c r="G130" s="396">
        <f>'[1]Reformulated balance sheet'!F68</f>
        <v>10877098</v>
      </c>
      <c r="H130" s="397">
        <f>'[1]Reformulated balance sheet'!G68</f>
        <v>11990730</v>
      </c>
      <c r="I130" s="259"/>
      <c r="J130" s="259"/>
      <c r="K130" s="259"/>
      <c r="L130" s="259"/>
      <c r="M130" s="259"/>
    </row>
    <row r="131" spans="1:15" s="339" customFormat="1" ht="14.4">
      <c r="A131" s="259"/>
      <c r="B131" s="337"/>
      <c r="C131" s="488" t="s">
        <v>752</v>
      </c>
      <c r="D131" s="495"/>
      <c r="E131" s="351"/>
      <c r="F131" s="396">
        <f t="shared" ref="F131:H131" si="42">(F130+E130)/2</f>
        <v>8118024.5</v>
      </c>
      <c r="G131" s="396">
        <f t="shared" si="42"/>
        <v>9931290</v>
      </c>
      <c r="H131" s="397">
        <f t="shared" si="42"/>
        <v>11433914</v>
      </c>
      <c r="I131" s="259"/>
      <c r="J131" s="259"/>
      <c r="K131" s="259"/>
      <c r="L131" s="259"/>
      <c r="M131" s="259"/>
    </row>
    <row r="132" spans="1:15" s="339" customFormat="1" ht="14.4">
      <c r="A132" s="259"/>
      <c r="B132" s="337"/>
      <c r="C132" s="488" t="s">
        <v>753</v>
      </c>
      <c r="D132" s="495"/>
      <c r="E132" s="351">
        <f>'[1]Reformulated balance sheet'!D44</f>
        <v>2172213</v>
      </c>
      <c r="F132" s="396">
        <f>'[1]Reformulated balance sheet'!E44</f>
        <v>3936175</v>
      </c>
      <c r="G132" s="396">
        <f>'[1]Reformulated balance sheet'!F44</f>
        <v>3829006</v>
      </c>
      <c r="H132" s="397">
        <f>'[1]Reformulated balance sheet'!G44</f>
        <v>4541785</v>
      </c>
      <c r="I132" s="259"/>
      <c r="J132" s="259"/>
      <c r="K132" s="259"/>
      <c r="L132" s="259"/>
      <c r="M132" s="259"/>
    </row>
    <row r="133" spans="1:15" s="339" customFormat="1" ht="14.4">
      <c r="A133" s="259"/>
      <c r="B133" s="337"/>
      <c r="C133" s="488" t="s">
        <v>754</v>
      </c>
      <c r="D133" s="495"/>
      <c r="E133" s="351">
        <f>'[1]Reformulated balance sheet'!D46</f>
        <v>6283677</v>
      </c>
      <c r="F133" s="396">
        <f>'[1]Reformulated balance sheet'!E46</f>
        <v>7504786</v>
      </c>
      <c r="G133" s="396">
        <f>'[1]Reformulated balance sheet'!F46</f>
        <v>8619620</v>
      </c>
      <c r="H133" s="397">
        <f>'[1]Reformulated balance sheet'!G46</f>
        <v>9060965</v>
      </c>
      <c r="I133" s="259"/>
      <c r="J133" s="259"/>
      <c r="K133" s="259"/>
      <c r="L133" s="259"/>
      <c r="M133" s="259"/>
    </row>
    <row r="134" spans="1:15" s="339" customFormat="1" ht="14.4">
      <c r="A134" s="259"/>
      <c r="B134" s="337"/>
      <c r="C134" s="488" t="s">
        <v>755</v>
      </c>
      <c r="D134" s="495"/>
      <c r="E134" s="351"/>
      <c r="F134" s="396">
        <f t="shared" ref="F134:H134" si="43">(F133+E133)/2</f>
        <v>6894231.5</v>
      </c>
      <c r="G134" s="396">
        <f t="shared" si="43"/>
        <v>8062203</v>
      </c>
      <c r="H134" s="397">
        <f t="shared" si="43"/>
        <v>8840292.5</v>
      </c>
      <c r="I134" s="259"/>
      <c r="J134" s="259"/>
      <c r="K134" s="259"/>
      <c r="L134" s="259"/>
      <c r="M134" s="259"/>
    </row>
    <row r="135" spans="1:15" s="339" customFormat="1" ht="14.4">
      <c r="A135" s="259"/>
      <c r="B135" s="337"/>
      <c r="C135" s="488" t="s">
        <v>756</v>
      </c>
      <c r="D135" s="495"/>
      <c r="E135" s="351">
        <f t="shared" ref="E135:H135" si="44">E126-E132</f>
        <v>4515346</v>
      </c>
      <c r="F135" s="396">
        <f t="shared" si="44"/>
        <v>4212726</v>
      </c>
      <c r="G135" s="396">
        <f t="shared" si="44"/>
        <v>5515033</v>
      </c>
      <c r="H135" s="397">
        <f t="shared" si="44"/>
        <v>5851792</v>
      </c>
      <c r="I135" s="259"/>
      <c r="J135" s="259"/>
      <c r="K135" s="259"/>
      <c r="L135" s="259"/>
      <c r="M135" s="259"/>
    </row>
    <row r="136" spans="1:15" s="339" customFormat="1" ht="14.4">
      <c r="A136" s="259"/>
      <c r="B136" s="337"/>
      <c r="C136" s="488" t="s">
        <v>539</v>
      </c>
      <c r="D136" s="495"/>
      <c r="E136" s="351">
        <f>'[1]Reformulated balance sheet'!D26</f>
        <v>19704</v>
      </c>
      <c r="F136" s="396">
        <f>'[1]Reformulated balance sheet'!E26</f>
        <v>324454</v>
      </c>
      <c r="G136" s="396">
        <f>'[1]Reformulated balance sheet'!F26</f>
        <v>838262</v>
      </c>
      <c r="H136" s="397">
        <f>'[1]Reformulated balance sheet'!G26</f>
        <v>1615043</v>
      </c>
      <c r="I136" s="259"/>
      <c r="J136" s="259"/>
      <c r="K136" s="259"/>
      <c r="L136" s="259"/>
      <c r="M136" s="259"/>
    </row>
    <row r="137" spans="1:15" s="339" customFormat="1" ht="14.4">
      <c r="A137" s="259"/>
      <c r="B137" s="337"/>
      <c r="C137" s="488" t="s">
        <v>757</v>
      </c>
      <c r="D137" s="495"/>
      <c r="E137" s="351">
        <f>'[1]Reformulated Income statement'!D62+'[1]Reformulated Income statement'!D63+'[1]Reformulated Income statement'!D64</f>
        <v>-4052981</v>
      </c>
      <c r="F137" s="396">
        <f>'[1]Reformulated Income statement'!E62+'[1]Reformulated Income statement'!E63+'[1]Reformulated Income statement'!E64</f>
        <v>-5163839</v>
      </c>
      <c r="G137" s="396">
        <f>'[1]Reformulated Income statement'!F62+'[1]Reformulated Income statement'!F63+'[1]Reformulated Income statement'!F64</f>
        <v>-5796146</v>
      </c>
      <c r="H137" s="397">
        <f>'[1]Reformulated Income statement'!G62+'[1]Reformulated Income statement'!G63+'[1]Reformulated Income statement'!G64</f>
        <v>-6520002</v>
      </c>
      <c r="I137" s="259"/>
      <c r="J137" s="259" t="s">
        <v>758</v>
      </c>
      <c r="K137" s="259">
        <v>9.2200000000000006</v>
      </c>
      <c r="M137" s="259">
        <v>2022</v>
      </c>
      <c r="N137" s="259">
        <v>2023</v>
      </c>
      <c r="O137" s="353">
        <v>2024</v>
      </c>
    </row>
    <row r="138" spans="1:15" s="339" customFormat="1" ht="14.4">
      <c r="A138" s="259"/>
      <c r="B138" s="337"/>
      <c r="C138" s="488" t="s">
        <v>570</v>
      </c>
      <c r="D138" s="495"/>
      <c r="E138" s="351">
        <f>'[1]Reformulated Income statement'!D100</f>
        <v>438372.56591078278</v>
      </c>
      <c r="F138" s="396">
        <f>'[1]Reformulated Income statement'!E100</f>
        <v>638360.92233863112</v>
      </c>
      <c r="G138" s="396">
        <f>'[1]Reformulated Income statement'!F100</f>
        <v>960065.49497490644</v>
      </c>
      <c r="H138" s="397">
        <f>'[1]Reformulated Income statement'!G100</f>
        <v>931706.05862974713</v>
      </c>
      <c r="I138" s="259"/>
      <c r="J138" s="259" t="s">
        <v>759</v>
      </c>
      <c r="M138" s="354">
        <f t="shared" ref="M138:O138" si="45">F139</f>
        <v>1473280</v>
      </c>
      <c r="N138" s="354">
        <f t="shared" si="45"/>
        <v>1608701</v>
      </c>
      <c r="O138" s="354">
        <f t="shared" si="45"/>
        <v>1513067</v>
      </c>
    </row>
    <row r="139" spans="1:15" s="339" customFormat="1" ht="14.4">
      <c r="A139" s="259"/>
      <c r="B139" s="337"/>
      <c r="C139" s="488" t="s">
        <v>760</v>
      </c>
      <c r="D139" s="495"/>
      <c r="E139" s="351">
        <f>'[1]Reformulated Income statement'!D11-'[1]Reformulated Income statement'!D9</f>
        <v>889518</v>
      </c>
      <c r="F139" s="396">
        <f>'[1]Reformulated Income statement'!E11-'[1]Reformulated Income statement'!E9</f>
        <v>1473280</v>
      </c>
      <c r="G139" s="396">
        <f>'[1]Reformulated Income statement'!F11-'[1]Reformulated Income statement'!F9</f>
        <v>1608701</v>
      </c>
      <c r="H139" s="397">
        <f>'[1]Reformulated Income statement'!G11-'[1]Reformulated Income statement'!G9</f>
        <v>1513067</v>
      </c>
      <c r="I139" s="259"/>
      <c r="J139" s="259" t="s">
        <v>761</v>
      </c>
      <c r="K139" s="259"/>
      <c r="M139" s="355">
        <f t="shared" ref="M139:O139" si="46">F9</f>
        <v>4602890</v>
      </c>
      <c r="N139" s="355">
        <f t="shared" si="46"/>
        <v>4972004</v>
      </c>
      <c r="O139" s="355">
        <f t="shared" si="46"/>
        <v>6111993</v>
      </c>
    </row>
    <row r="140" spans="1:15" s="339" customFormat="1" ht="14.4">
      <c r="A140" s="259"/>
      <c r="B140" s="337"/>
      <c r="C140" s="488" t="s">
        <v>762</v>
      </c>
      <c r="D140" s="495"/>
      <c r="E140" s="351">
        <f>'[1]Cash flow'!Q29</f>
        <v>225091</v>
      </c>
      <c r="F140" s="396">
        <f>'[1]Cash flow'!R29</f>
        <v>637608</v>
      </c>
      <c r="G140" s="396">
        <f>'[1]Cash flow'!S29</f>
        <v>115848</v>
      </c>
      <c r="H140" s="397">
        <f>'[1]Cash flow'!T29</f>
        <v>-418985</v>
      </c>
      <c r="I140" s="259"/>
      <c r="J140" s="259" t="s">
        <v>763</v>
      </c>
      <c r="K140" s="259"/>
      <c r="M140" s="356">
        <f t="shared" ref="M140:O140" si="47">M138*$K$137-M139</f>
        <v>8980751.6000000015</v>
      </c>
      <c r="N140" s="356">
        <f t="shared" si="47"/>
        <v>9860219.2200000007</v>
      </c>
      <c r="O140" s="356">
        <f t="shared" si="47"/>
        <v>7838484.7400000002</v>
      </c>
    </row>
    <row r="141" spans="1:15" s="339" customFormat="1" thickBot="1">
      <c r="A141" s="259"/>
      <c r="B141" s="340"/>
      <c r="C141" s="490" t="s">
        <v>764</v>
      </c>
      <c r="D141" s="496"/>
      <c r="E141" s="357"/>
      <c r="F141" s="400">
        <f t="shared" ref="F141:H141" si="48">M140</f>
        <v>8980751.6000000015</v>
      </c>
      <c r="G141" s="400">
        <f t="shared" si="48"/>
        <v>9860219.2200000007</v>
      </c>
      <c r="H141" s="401">
        <f t="shared" si="48"/>
        <v>7838484.7400000002</v>
      </c>
      <c r="I141" s="259"/>
      <c r="J141" s="259"/>
      <c r="K141" s="259"/>
      <c r="L141" s="259"/>
      <c r="M141" s="259"/>
    </row>
    <row r="142" spans="1:15" ht="14.4">
      <c r="A142" s="331"/>
      <c r="B142" s="358"/>
      <c r="C142" s="358"/>
      <c r="D142" s="358"/>
      <c r="E142" s="358"/>
      <c r="F142" s="402"/>
      <c r="G142" s="402"/>
      <c r="H142" s="402"/>
      <c r="I142" s="331"/>
      <c r="J142" s="331"/>
      <c r="K142" s="331"/>
      <c r="L142" s="331"/>
      <c r="M142" s="331"/>
    </row>
    <row r="143" spans="1:15" ht="14.4">
      <c r="A143" s="331"/>
      <c r="B143" s="358"/>
      <c r="C143" s="358"/>
      <c r="D143" s="358"/>
      <c r="E143" s="358"/>
      <c r="F143" s="402"/>
      <c r="G143" s="402"/>
      <c r="H143" s="402"/>
      <c r="I143" s="331"/>
      <c r="J143" s="331"/>
      <c r="K143" s="331"/>
      <c r="L143" s="331"/>
      <c r="M143" s="331"/>
    </row>
    <row r="144" spans="1:15" ht="15.6">
      <c r="A144" s="331"/>
      <c r="B144" s="454" t="s">
        <v>819</v>
      </c>
      <c r="C144" s="454"/>
      <c r="D144" s="454"/>
      <c r="E144" s="454"/>
      <c r="F144" s="454"/>
      <c r="G144" s="454"/>
      <c r="H144" s="454"/>
      <c r="I144" s="331"/>
      <c r="J144" s="331"/>
      <c r="K144" s="331"/>
      <c r="L144" s="331"/>
      <c r="M144" s="331"/>
    </row>
    <row r="145" spans="1:13" ht="18.600000000000001" thickBot="1">
      <c r="A145" s="331"/>
      <c r="B145" s="327" t="s">
        <v>818</v>
      </c>
      <c r="C145" s="328"/>
      <c r="D145" s="328"/>
      <c r="E145" s="328"/>
      <c r="F145" s="403"/>
      <c r="G145" s="403"/>
      <c r="H145" s="403"/>
      <c r="I145" s="331"/>
      <c r="J145" s="331"/>
      <c r="K145" s="331"/>
      <c r="L145" s="331"/>
      <c r="M145" s="331"/>
    </row>
    <row r="146" spans="1:13" ht="18">
      <c r="A146" s="331"/>
      <c r="B146" s="474" t="s">
        <v>765</v>
      </c>
      <c r="C146" s="475"/>
      <c r="D146" s="475"/>
      <c r="E146" s="475"/>
      <c r="F146" s="475"/>
      <c r="G146" s="475"/>
      <c r="H146" s="492"/>
      <c r="I146" s="331"/>
      <c r="J146" s="331"/>
      <c r="K146" s="331"/>
      <c r="L146" s="331"/>
      <c r="M146" s="331"/>
    </row>
    <row r="147" spans="1:13" ht="14.4">
      <c r="A147" s="331"/>
      <c r="B147" s="329"/>
      <c r="C147" s="330"/>
      <c r="D147" s="497"/>
      <c r="E147" s="497"/>
      <c r="F147" s="404">
        <v>2022</v>
      </c>
      <c r="G147" s="404">
        <v>2023</v>
      </c>
      <c r="H147" s="405">
        <v>2024</v>
      </c>
      <c r="I147" s="331"/>
      <c r="J147" s="331"/>
      <c r="K147" s="331"/>
      <c r="L147" s="331"/>
      <c r="M147" s="331"/>
    </row>
    <row r="148" spans="1:13" s="339" customFormat="1" ht="14.4">
      <c r="A148" s="259"/>
      <c r="B148" s="337" t="s">
        <v>766</v>
      </c>
      <c r="C148" s="338" t="s">
        <v>755</v>
      </c>
      <c r="D148" s="488" t="s">
        <v>752</v>
      </c>
      <c r="E148" s="495"/>
      <c r="F148" s="381">
        <f t="shared" ref="F148:H148" si="49">F134/F131</f>
        <v>0.84924990063777217</v>
      </c>
      <c r="G148" s="381">
        <f t="shared" si="49"/>
        <v>0.81179816519304138</v>
      </c>
      <c r="H148" s="382">
        <f t="shared" si="49"/>
        <v>0.77316415883484868</v>
      </c>
      <c r="I148" s="259"/>
      <c r="J148" s="259"/>
      <c r="K148" s="259"/>
      <c r="L148" s="259"/>
      <c r="M148" s="259"/>
    </row>
    <row r="149" spans="1:13" s="339" customFormat="1" ht="14.4">
      <c r="A149" s="259"/>
      <c r="B149" s="337" t="s">
        <v>767</v>
      </c>
      <c r="C149" s="338" t="s">
        <v>755</v>
      </c>
      <c r="D149" s="488" t="s">
        <v>625</v>
      </c>
      <c r="E149" s="495"/>
      <c r="F149" s="381">
        <f t="shared" ref="F149:H149" si="50">F134/F15</f>
        <v>5.6334947985484476</v>
      </c>
      <c r="G149" s="381">
        <f t="shared" si="50"/>
        <v>4.3134444785074209</v>
      </c>
      <c r="H149" s="382">
        <f t="shared" si="50"/>
        <v>3.4084744053825897</v>
      </c>
      <c r="I149" s="259"/>
      <c r="J149" s="259"/>
      <c r="K149" s="259"/>
      <c r="L149" s="259"/>
      <c r="M149" s="259"/>
    </row>
    <row r="150" spans="1:13" s="339" customFormat="1" ht="14.4">
      <c r="A150" s="259"/>
      <c r="B150" s="337" t="s">
        <v>768</v>
      </c>
      <c r="C150" s="338" t="s">
        <v>769</v>
      </c>
      <c r="D150" s="488" t="s">
        <v>565</v>
      </c>
      <c r="E150" s="495"/>
      <c r="F150" s="381">
        <f t="shared" ref="F150:H150" si="51">F29/F22</f>
        <v>-1.3718824210908934E-2</v>
      </c>
      <c r="G150" s="381">
        <f t="shared" si="51"/>
        <v>-1.6585894065020573E-2</v>
      </c>
      <c r="H150" s="382">
        <f t="shared" si="51"/>
        <v>-2.5570152755106219E-2</v>
      </c>
      <c r="I150" s="259"/>
      <c r="J150" s="259"/>
      <c r="K150" s="259"/>
      <c r="L150" s="259"/>
      <c r="M150" s="259"/>
    </row>
    <row r="151" spans="1:13" s="339" customFormat="1" ht="14.4">
      <c r="A151" s="259"/>
      <c r="B151" s="337" t="s">
        <v>770</v>
      </c>
      <c r="C151" s="338" t="s">
        <v>759</v>
      </c>
      <c r="D151" s="488" t="s">
        <v>769</v>
      </c>
      <c r="E151" s="495"/>
      <c r="F151" s="381">
        <f>('[1]Reformulated Income statement'!D11+ABS('[1]Reformulated Income statement'!D9))/F29</f>
        <v>-5.1212965628418443</v>
      </c>
      <c r="G151" s="381">
        <f>('[1]Reformulated Income statement'!E11+ABS('[1]Reformulated Income statement'!E9))/G29</f>
        <v>-6.1373880441574675</v>
      </c>
      <c r="H151" s="382">
        <f>('[1]Reformulated Income statement'!F11+ABS('[1]Reformulated Income statement'!F9))/H29</f>
        <v>-4.2081856445161776</v>
      </c>
      <c r="I151" s="259"/>
      <c r="J151" s="259"/>
      <c r="K151" s="259"/>
      <c r="L151" s="259"/>
      <c r="M151" s="259"/>
    </row>
    <row r="152" spans="1:13" s="339" customFormat="1" ht="14.4">
      <c r="A152" s="259"/>
      <c r="B152" s="337" t="s">
        <v>770</v>
      </c>
      <c r="C152" s="338" t="s">
        <v>570</v>
      </c>
      <c r="D152" s="488" t="s">
        <v>769</v>
      </c>
      <c r="E152" s="495"/>
      <c r="F152" s="381">
        <f t="shared" ref="F152:H152" si="52">F138/F29</f>
        <v>-3.6752888614118895</v>
      </c>
      <c r="G152" s="381">
        <f t="shared" si="52"/>
        <v>-3.9994396791289581</v>
      </c>
      <c r="H152" s="382">
        <f t="shared" si="52"/>
        <v>-2.4372410167174947</v>
      </c>
      <c r="I152" s="259"/>
      <c r="J152" s="259"/>
      <c r="K152" s="259"/>
      <c r="L152" s="259"/>
      <c r="M152" s="259"/>
    </row>
    <row r="153" spans="1:13" s="339" customFormat="1" thickBot="1">
      <c r="A153" s="259"/>
      <c r="B153" s="340" t="s">
        <v>770</v>
      </c>
      <c r="C153" s="341" t="s">
        <v>762</v>
      </c>
      <c r="D153" s="490" t="s">
        <v>769</v>
      </c>
      <c r="E153" s="496"/>
      <c r="F153" s="406">
        <f>F140/F29</f>
        <v>-3.6709539985030801</v>
      </c>
      <c r="G153" s="406">
        <f t="shared" ref="G153:H153" si="53">F140/G29</f>
        <v>-2.6561466361174757</v>
      </c>
      <c r="H153" s="407">
        <f t="shared" si="53"/>
        <v>-0.30304568129559822</v>
      </c>
      <c r="I153" s="259"/>
      <c r="J153" s="259"/>
      <c r="K153" s="259"/>
      <c r="L153" s="259"/>
      <c r="M153" s="259"/>
    </row>
    <row r="154" spans="1:13" ht="14.4">
      <c r="A154" s="331"/>
      <c r="B154" s="358"/>
      <c r="C154" s="358"/>
      <c r="D154" s="358"/>
      <c r="E154" s="358"/>
      <c r="F154" s="402"/>
      <c r="G154" s="402"/>
      <c r="H154" s="402"/>
      <c r="I154" s="331"/>
      <c r="J154" s="331"/>
      <c r="K154" s="331"/>
      <c r="L154" s="331"/>
      <c r="M154" s="331"/>
    </row>
    <row r="155" spans="1:13" thickBot="1">
      <c r="A155" s="331"/>
      <c r="B155" s="358"/>
      <c r="C155" s="358"/>
      <c r="D155" s="358"/>
      <c r="E155" s="358"/>
      <c r="F155" s="402"/>
      <c r="G155" s="402"/>
      <c r="H155" s="402"/>
      <c r="I155" s="331"/>
      <c r="J155" s="331"/>
      <c r="K155" s="331"/>
      <c r="L155" s="331"/>
      <c r="M155" s="331"/>
    </row>
    <row r="156" spans="1:13" ht="18">
      <c r="A156" s="331"/>
      <c r="B156" s="474" t="s">
        <v>771</v>
      </c>
      <c r="C156" s="475"/>
      <c r="D156" s="475"/>
      <c r="E156" s="475"/>
      <c r="F156" s="475"/>
      <c r="G156" s="475"/>
      <c r="H156" s="492"/>
      <c r="I156" s="331"/>
      <c r="J156" s="331"/>
      <c r="K156" s="331"/>
      <c r="L156" s="331"/>
      <c r="M156" s="331"/>
    </row>
    <row r="157" spans="1:13" ht="14.4">
      <c r="A157" s="331"/>
      <c r="B157" s="329"/>
      <c r="C157" s="457"/>
      <c r="D157" s="457"/>
      <c r="E157" s="457"/>
      <c r="F157" s="404">
        <f>F147</f>
        <v>2022</v>
      </c>
      <c r="G157" s="404">
        <f>G147</f>
        <v>2023</v>
      </c>
      <c r="H157" s="405">
        <f>H147</f>
        <v>2024</v>
      </c>
      <c r="I157" s="331"/>
      <c r="J157" s="331"/>
      <c r="K157" s="331"/>
      <c r="L157" s="331"/>
      <c r="M157" s="331"/>
    </row>
    <row r="158" spans="1:13" s="259" customFormat="1" ht="14.4">
      <c r="B158" s="359" t="s">
        <v>772</v>
      </c>
      <c r="C158" s="338" t="s">
        <v>750</v>
      </c>
      <c r="D158" s="488" t="s">
        <v>753</v>
      </c>
      <c r="E158" s="489"/>
      <c r="F158" s="381">
        <f t="shared" ref="F158:H158" si="54">F126/F132</f>
        <v>2.0702588172527898</v>
      </c>
      <c r="G158" s="381">
        <f t="shared" si="54"/>
        <v>2.4403302058027592</v>
      </c>
      <c r="H158" s="382">
        <f t="shared" si="54"/>
        <v>2.288434393085538</v>
      </c>
    </row>
    <row r="159" spans="1:13" s="259" customFormat="1" ht="14.4">
      <c r="B159" s="359" t="s">
        <v>773</v>
      </c>
      <c r="C159" s="338" t="s">
        <v>774</v>
      </c>
      <c r="D159" s="488" t="s">
        <v>753</v>
      </c>
      <c r="E159" s="489"/>
      <c r="F159" s="381">
        <f t="shared" ref="F159:H159" si="55">(F123+F124+F125)/F132</f>
        <v>0.33726168170876547</v>
      </c>
      <c r="G159" s="381">
        <f t="shared" si="55"/>
        <v>0.37459016778767129</v>
      </c>
      <c r="H159" s="382">
        <f t="shared" si="55"/>
        <v>0.21559805230762794</v>
      </c>
    </row>
    <row r="160" spans="1:13" s="259" customFormat="1" thickBot="1">
      <c r="B160" s="360" t="s">
        <v>775</v>
      </c>
      <c r="C160" s="341" t="s">
        <v>776</v>
      </c>
      <c r="D160" s="490" t="s">
        <v>753</v>
      </c>
      <c r="E160" s="491"/>
      <c r="F160" s="406">
        <f t="shared" ref="F160:H160" si="56">F140/F132</f>
        <v>0.1619867002864456</v>
      </c>
      <c r="G160" s="406">
        <f t="shared" si="56"/>
        <v>3.0255371759668175E-2</v>
      </c>
      <c r="H160" s="407">
        <f t="shared" si="56"/>
        <v>-9.2251174373071385E-2</v>
      </c>
    </row>
    <row r="161" spans="1:13" ht="14.4">
      <c r="A161" s="331"/>
      <c r="B161" s="358"/>
      <c r="C161" s="358"/>
      <c r="D161" s="358"/>
      <c r="E161" s="358"/>
      <c r="F161" s="402"/>
      <c r="G161" s="402"/>
      <c r="H161" s="402"/>
      <c r="I161" s="331"/>
      <c r="J161" s="331"/>
      <c r="K161" s="331"/>
      <c r="L161" s="331"/>
      <c r="M161" s="331"/>
    </row>
    <row r="162" spans="1:13" thickBot="1">
      <c r="A162" s="331"/>
      <c r="B162" s="358"/>
      <c r="C162" s="358"/>
      <c r="D162" s="358"/>
      <c r="E162" s="358"/>
      <c r="F162" s="402"/>
      <c r="G162" s="402"/>
      <c r="H162" s="402"/>
      <c r="I162" s="331"/>
      <c r="J162" s="331"/>
      <c r="K162" s="331"/>
      <c r="L162" s="331"/>
      <c r="M162" s="331"/>
    </row>
    <row r="163" spans="1:13" ht="18">
      <c r="A163" s="331"/>
      <c r="B163" s="474" t="s">
        <v>777</v>
      </c>
      <c r="C163" s="475"/>
      <c r="D163" s="475"/>
      <c r="E163" s="475"/>
      <c r="F163" s="475"/>
      <c r="G163" s="475"/>
      <c r="H163" s="492"/>
      <c r="I163" s="331"/>
      <c r="J163" s="331"/>
      <c r="K163" s="331"/>
      <c r="L163" s="331"/>
      <c r="M163" s="331"/>
    </row>
    <row r="164" spans="1:13" s="361" customFormat="1" ht="14.4">
      <c r="A164" s="259"/>
      <c r="B164" s="493" t="s">
        <v>778</v>
      </c>
      <c r="C164" s="494"/>
      <c r="D164" s="494"/>
      <c r="E164" s="494"/>
      <c r="F164" s="408">
        <v>2022</v>
      </c>
      <c r="G164" s="408">
        <v>2023</v>
      </c>
      <c r="H164" s="409">
        <v>2024</v>
      </c>
      <c r="I164" s="259"/>
      <c r="J164" s="259"/>
      <c r="K164" s="259"/>
      <c r="L164" s="259"/>
      <c r="M164" s="259"/>
    </row>
    <row r="165" spans="1:13" s="361" customFormat="1" ht="14.4">
      <c r="A165" s="259"/>
      <c r="B165" s="484" t="s">
        <v>779</v>
      </c>
      <c r="C165" s="485"/>
      <c r="D165" s="485"/>
      <c r="E165" s="485"/>
      <c r="F165" s="421">
        <f t="shared" ref="F165:H165" si="57">F135/F130</f>
        <v>0.46883695276447052</v>
      </c>
      <c r="G165" s="421">
        <f t="shared" si="57"/>
        <v>0.50703165495061275</v>
      </c>
      <c r="H165" s="422">
        <f t="shared" si="57"/>
        <v>0.4880263336760981</v>
      </c>
      <c r="I165" s="259"/>
    </row>
    <row r="166" spans="1:13" s="361" customFormat="1" ht="14.4">
      <c r="A166" s="259"/>
      <c r="B166" s="484" t="s">
        <v>780</v>
      </c>
      <c r="C166" s="485"/>
      <c r="D166" s="485"/>
      <c r="E166" s="485"/>
      <c r="F166" s="421">
        <f t="shared" ref="F166:H166" si="58">F136/F130</f>
        <v>3.6108691776356575E-2</v>
      </c>
      <c r="G166" s="421">
        <f t="shared" si="58"/>
        <v>7.7066695546918862E-2</v>
      </c>
      <c r="H166" s="422">
        <f t="shared" si="58"/>
        <v>0.13469096543746711</v>
      </c>
      <c r="I166" s="259"/>
    </row>
    <row r="167" spans="1:13" s="361" customFormat="1" ht="14.4">
      <c r="A167" s="259"/>
      <c r="B167" s="484" t="s">
        <v>781</v>
      </c>
      <c r="C167" s="485"/>
      <c r="D167" s="485"/>
      <c r="E167" s="485"/>
      <c r="F167" s="421">
        <f>'[1]Reformulated Income statement'!D11/F130</f>
        <v>6.0861064548345875E-2</v>
      </c>
      <c r="G167" s="421">
        <f>'[1]Reformulated Income statement'!E11/G130</f>
        <v>8.1735587929795239E-2</v>
      </c>
      <c r="H167" s="422">
        <f>'[1]Reformulated Income statement'!F11/H130</f>
        <v>0.104725233576271</v>
      </c>
      <c r="K167" s="259"/>
      <c r="L167" s="259"/>
      <c r="M167" s="259"/>
    </row>
    <row r="168" spans="1:13" s="361" customFormat="1" ht="14.4">
      <c r="A168" s="259"/>
      <c r="B168" s="484" t="s">
        <v>782</v>
      </c>
      <c r="C168" s="485"/>
      <c r="D168" s="485"/>
      <c r="E168" s="485"/>
      <c r="F168" s="421">
        <f t="shared" ref="F168:H168" si="59">F141/F133</f>
        <v>1.1966699117070096</v>
      </c>
      <c r="G168" s="421">
        <f t="shared" si="59"/>
        <v>1.143927368027825</v>
      </c>
      <c r="H168" s="422">
        <f t="shared" si="59"/>
        <v>0.86508277429611524</v>
      </c>
      <c r="I168" s="259"/>
      <c r="K168" s="259"/>
      <c r="L168" s="259"/>
      <c r="M168" s="259"/>
    </row>
    <row r="169" spans="1:13" s="361" customFormat="1" ht="14.4">
      <c r="A169" s="259"/>
      <c r="B169" s="484" t="s">
        <v>783</v>
      </c>
      <c r="C169" s="485"/>
      <c r="D169" s="485"/>
      <c r="E169" s="485"/>
      <c r="F169" s="421">
        <f t="shared" ref="F169:H169" si="60">F22/F130</f>
        <v>1.4090180137248063</v>
      </c>
      <c r="G169" s="421">
        <f t="shared" si="60"/>
        <v>1.3306069321063394</v>
      </c>
      <c r="H169" s="422">
        <f t="shared" si="60"/>
        <v>1.2468134967595801</v>
      </c>
      <c r="I169" s="259"/>
      <c r="J169" s="259"/>
      <c r="K169" s="259"/>
      <c r="L169" s="259"/>
      <c r="M169" s="259"/>
    </row>
    <row r="170" spans="1:13" s="361" customFormat="1" ht="14.4">
      <c r="A170" s="259"/>
      <c r="B170" s="484" t="s">
        <v>784</v>
      </c>
      <c r="C170" s="485"/>
      <c r="D170" s="485"/>
      <c r="E170" s="485"/>
      <c r="F170" s="410">
        <f t="shared" ref="F170:H170" si="61">((((1.2*F165)+(1.4*F166))+(3.3*F167))+(0.6*F168))+(0.999*F169)</f>
        <v>2.9396089675490922</v>
      </c>
      <c r="G170" s="411">
        <f t="shared" si="61"/>
        <v>3.0016915458656741</v>
      </c>
      <c r="H170" s="412">
        <f t="shared" si="61"/>
        <v>2.8844085706659559</v>
      </c>
      <c r="I170" s="259"/>
      <c r="J170" s="259"/>
      <c r="K170" s="259"/>
      <c r="L170" s="259"/>
      <c r="M170" s="259"/>
    </row>
    <row r="171" spans="1:13" s="361" customFormat="1" thickBot="1">
      <c r="A171" s="259"/>
      <c r="B171" s="486" t="s">
        <v>785</v>
      </c>
      <c r="C171" s="487"/>
      <c r="D171" s="487"/>
      <c r="E171" s="487"/>
      <c r="F171" s="413"/>
      <c r="G171" s="413"/>
      <c r="H171" s="414"/>
      <c r="I171" s="259"/>
      <c r="J171" s="259"/>
      <c r="K171" s="259"/>
      <c r="L171" s="259"/>
      <c r="M171" s="259"/>
    </row>
    <row r="172" spans="1:13" thickBot="1">
      <c r="A172" s="331"/>
      <c r="B172" s="358"/>
      <c r="C172" s="470" t="s">
        <v>786</v>
      </c>
      <c r="D172" s="470"/>
      <c r="E172" s="471"/>
      <c r="F172" s="415"/>
      <c r="G172" s="416"/>
      <c r="H172" s="417"/>
      <c r="I172" s="331"/>
      <c r="J172" s="331"/>
      <c r="K172" s="331"/>
      <c r="L172" s="331"/>
      <c r="M172" s="331"/>
    </row>
    <row r="173" spans="1:13" ht="15.6">
      <c r="A173" s="331"/>
      <c r="B173" s="358"/>
      <c r="C173" s="476" t="s">
        <v>787</v>
      </c>
      <c r="D173" s="476"/>
      <c r="E173" s="477"/>
      <c r="F173" s="478" t="s">
        <v>788</v>
      </c>
      <c r="G173" s="479"/>
      <c r="H173" s="402"/>
      <c r="I173" s="331"/>
      <c r="J173" s="331"/>
      <c r="K173" s="331"/>
      <c r="L173" s="331"/>
      <c r="M173" s="331"/>
    </row>
    <row r="174" spans="1:13" ht="15.6">
      <c r="A174" s="331"/>
      <c r="B174" s="358"/>
      <c r="C174" s="476" t="s">
        <v>789</v>
      </c>
      <c r="D174" s="476"/>
      <c r="E174" s="477"/>
      <c r="F174" s="480" t="s">
        <v>790</v>
      </c>
      <c r="G174" s="481"/>
      <c r="H174" s="402"/>
      <c r="I174" s="331"/>
      <c r="J174" s="331"/>
      <c r="K174" s="331"/>
      <c r="L174" s="331"/>
      <c r="M174" s="331"/>
    </row>
    <row r="175" spans="1:13" ht="15.6">
      <c r="A175" s="331"/>
      <c r="B175" s="358"/>
      <c r="C175" s="476" t="s">
        <v>791</v>
      </c>
      <c r="D175" s="476"/>
      <c r="E175" s="477"/>
      <c r="F175" s="482" t="s">
        <v>792</v>
      </c>
      <c r="G175" s="483"/>
      <c r="H175" s="402"/>
      <c r="I175" s="331"/>
      <c r="J175" s="331"/>
      <c r="K175" s="331"/>
      <c r="L175" s="331"/>
      <c r="M175" s="331"/>
    </row>
    <row r="176" spans="1:13" ht="14.4">
      <c r="A176" s="331"/>
      <c r="B176" s="358"/>
      <c r="C176" s="358"/>
      <c r="D176" s="358"/>
      <c r="E176" s="358"/>
      <c r="F176" s="402"/>
      <c r="G176" s="402"/>
      <c r="H176" s="402"/>
      <c r="I176" s="331"/>
      <c r="J176" s="331"/>
      <c r="K176" s="331"/>
      <c r="L176" s="331"/>
      <c r="M176" s="331"/>
    </row>
    <row r="177" spans="1:13" ht="15.6">
      <c r="A177" s="331"/>
      <c r="B177" s="454" t="s">
        <v>820</v>
      </c>
      <c r="C177" s="454"/>
      <c r="D177" s="454"/>
      <c r="E177" s="454"/>
      <c r="F177" s="454"/>
      <c r="G177" s="454"/>
      <c r="H177" s="454"/>
      <c r="I177" s="331"/>
      <c r="J177" s="331"/>
      <c r="K177" s="331"/>
      <c r="L177" s="331"/>
      <c r="M177" s="331"/>
    </row>
    <row r="178" spans="1:13" thickBot="1">
      <c r="A178" s="331"/>
      <c r="B178" s="328"/>
      <c r="C178" s="328"/>
      <c r="D178" s="328"/>
      <c r="E178" s="328"/>
      <c r="F178" s="328"/>
      <c r="G178" s="328"/>
      <c r="H178" s="328"/>
      <c r="I178" s="331"/>
      <c r="J178" s="331"/>
      <c r="K178" s="331"/>
      <c r="L178" s="331"/>
      <c r="M178" s="331"/>
    </row>
    <row r="179" spans="1:13" ht="18">
      <c r="A179" s="331"/>
      <c r="B179" s="474" t="s">
        <v>793</v>
      </c>
      <c r="C179" s="475"/>
      <c r="D179" s="475"/>
      <c r="E179" s="475"/>
      <c r="F179" s="418">
        <v>2022</v>
      </c>
      <c r="G179" s="418">
        <v>2023</v>
      </c>
      <c r="H179" s="419">
        <v>2024</v>
      </c>
      <c r="I179" s="331"/>
      <c r="J179" s="331"/>
      <c r="K179" s="331"/>
      <c r="L179" s="331"/>
      <c r="M179" s="331"/>
    </row>
    <row r="180" spans="1:13" ht="14.4">
      <c r="A180" s="331"/>
      <c r="B180" s="430">
        <v>0.92</v>
      </c>
      <c r="C180" s="423" t="s">
        <v>794</v>
      </c>
      <c r="D180" s="465" t="s">
        <v>795</v>
      </c>
      <c r="E180" s="466"/>
      <c r="F180" s="424">
        <f t="shared" ref="F180:H180" si="62">(F16/F22)/(E16/E22)</f>
        <v>0.77620242307523657</v>
      </c>
      <c r="G180" s="424">
        <f t="shared" si="62"/>
        <v>0.94311462739691909</v>
      </c>
      <c r="H180" s="431">
        <f t="shared" si="62"/>
        <v>0.63688278637393925</v>
      </c>
      <c r="I180" s="331"/>
      <c r="J180" s="331"/>
      <c r="K180" s="331"/>
      <c r="L180" s="331"/>
      <c r="M180" s="331"/>
    </row>
    <row r="181" spans="1:13" ht="14.4">
      <c r="A181" s="331"/>
      <c r="B181" s="430">
        <v>0.53</v>
      </c>
      <c r="C181" s="423" t="s">
        <v>796</v>
      </c>
      <c r="D181" s="465" t="s">
        <v>797</v>
      </c>
      <c r="E181" s="466"/>
      <c r="F181" s="424">
        <f t="shared" ref="F181:H181" si="63">(E24/E22)/(F24/F22)</f>
        <v>0.92657240425111054</v>
      </c>
      <c r="G181" s="424">
        <f t="shared" si="63"/>
        <v>1.0928770043401399</v>
      </c>
      <c r="H181" s="431">
        <f t="shared" si="63"/>
        <v>0.86372927162005675</v>
      </c>
      <c r="I181" s="331"/>
      <c r="J181" s="331"/>
      <c r="K181" s="331"/>
      <c r="L181" s="331"/>
      <c r="M181" s="331"/>
    </row>
    <row r="182" spans="1:13" ht="14.4">
      <c r="A182" s="331"/>
      <c r="B182" s="430">
        <v>0.4</v>
      </c>
      <c r="C182" s="423" t="s">
        <v>798</v>
      </c>
      <c r="D182" s="465" t="s">
        <v>799</v>
      </c>
      <c r="E182" s="466"/>
      <c r="F182" s="425">
        <f t="shared" ref="F182:H182" si="64">((F127+F128+F129)/F130)/((E127+E128+E129)/E130)</f>
        <v>1.1569934511179698</v>
      </c>
      <c r="G182" s="425">
        <f t="shared" si="64"/>
        <v>1.4870716183868586</v>
      </c>
      <c r="H182" s="432">
        <f t="shared" si="64"/>
        <v>0.77345131068163975</v>
      </c>
      <c r="I182" s="331"/>
      <c r="J182" s="331"/>
      <c r="K182" s="331"/>
      <c r="L182" s="331"/>
      <c r="M182" s="331"/>
    </row>
    <row r="183" spans="1:13" ht="14.4">
      <c r="A183" s="331"/>
      <c r="B183" s="430">
        <v>0.89</v>
      </c>
      <c r="C183" s="423" t="s">
        <v>800</v>
      </c>
      <c r="D183" s="465" t="s">
        <v>801</v>
      </c>
      <c r="E183" s="466"/>
      <c r="F183" s="424">
        <f t="shared" ref="F183:H183" si="65">F22/E22</f>
        <v>1.3699413327747112</v>
      </c>
      <c r="G183" s="424">
        <f t="shared" si="65"/>
        <v>1.1431544180869535</v>
      </c>
      <c r="H183" s="431">
        <f t="shared" si="65"/>
        <v>1.0329618820847608</v>
      </c>
      <c r="I183" s="331"/>
      <c r="J183" s="331"/>
      <c r="K183" s="331"/>
      <c r="L183" s="331"/>
      <c r="M183" s="331"/>
    </row>
    <row r="184" spans="1:13" ht="14.4">
      <c r="A184" s="331"/>
      <c r="B184" s="430">
        <v>0.12</v>
      </c>
      <c r="C184" s="423" t="s">
        <v>802</v>
      </c>
      <c r="D184" s="465" t="s">
        <v>803</v>
      </c>
      <c r="E184" s="466"/>
      <c r="F184" s="424">
        <f t="shared" ref="F184:H184" si="66">(E36/E35)/(F36/F35)</f>
        <v>1.5400336147671274</v>
      </c>
      <c r="G184" s="424">
        <f t="shared" si="66"/>
        <v>0.91078440815129946</v>
      </c>
      <c r="H184" s="431">
        <f t="shared" si="66"/>
        <v>1.0968578382152829</v>
      </c>
      <c r="I184" s="331"/>
      <c r="J184" s="331"/>
      <c r="K184" s="331"/>
      <c r="L184" s="331"/>
      <c r="M184" s="331"/>
    </row>
    <row r="185" spans="1:13" ht="14.4">
      <c r="A185" s="331"/>
      <c r="B185" s="430">
        <v>-0.17</v>
      </c>
      <c r="C185" s="423" t="s">
        <v>804</v>
      </c>
      <c r="D185" s="465" t="s">
        <v>805</v>
      </c>
      <c r="E185" s="466"/>
      <c r="F185" s="424">
        <f t="shared" ref="F185:H185" si="67">-(F137/F22)/-(E137/E22)</f>
        <v>0.93002828365586443</v>
      </c>
      <c r="G185" s="424">
        <f t="shared" si="67"/>
        <v>0.98188748379191293</v>
      </c>
      <c r="H185" s="431">
        <f t="shared" si="67"/>
        <v>1.0889905644663818</v>
      </c>
      <c r="I185" s="331"/>
      <c r="J185" s="331"/>
      <c r="K185" s="331"/>
      <c r="L185" s="331"/>
      <c r="M185" s="331"/>
    </row>
    <row r="186" spans="1:13" ht="14.4">
      <c r="A186" s="331"/>
      <c r="B186" s="430">
        <v>-0.33</v>
      </c>
      <c r="C186" s="423" t="s">
        <v>806</v>
      </c>
      <c r="D186" s="465" t="s">
        <v>807</v>
      </c>
      <c r="E186" s="466"/>
      <c r="F186" s="424">
        <f t="shared" ref="F186:H186" si="68">(F133/F130)/(E133/E130)</f>
        <v>0.96372927450338952</v>
      </c>
      <c r="G186" s="424">
        <f t="shared" si="68"/>
        <v>0.9488075775388215</v>
      </c>
      <c r="H186" s="431">
        <f t="shared" si="68"/>
        <v>0.95357257072966084</v>
      </c>
      <c r="I186" s="331"/>
      <c r="J186" s="331"/>
      <c r="K186" s="331"/>
      <c r="L186" s="331"/>
      <c r="M186" s="331"/>
    </row>
    <row r="187" spans="1:13" ht="14.4">
      <c r="A187" s="331"/>
      <c r="B187" s="430">
        <v>4.67</v>
      </c>
      <c r="C187" s="423" t="s">
        <v>808</v>
      </c>
      <c r="D187" s="465" t="s">
        <v>809</v>
      </c>
      <c r="E187" s="466"/>
      <c r="F187" s="424">
        <f>(F32-F140)/F130</f>
        <v>-1.3777780646603042E-2</v>
      </c>
      <c r="G187" s="424">
        <f>(G32-G140)/G130</f>
        <v>6.0763633829537991E-2</v>
      </c>
      <c r="H187" s="431">
        <f>(H32-H140)/H130</f>
        <v>9.1009805074419983E-2</v>
      </c>
      <c r="I187" s="331"/>
      <c r="J187" s="331"/>
      <c r="K187" s="331"/>
      <c r="L187" s="331"/>
      <c r="M187" s="331"/>
    </row>
    <row r="188" spans="1:13" ht="14.4">
      <c r="A188" s="331"/>
      <c r="B188" s="430">
        <v>-4.84</v>
      </c>
      <c r="C188" s="423" t="s">
        <v>810</v>
      </c>
      <c r="D188" s="472"/>
      <c r="E188" s="473"/>
      <c r="F188" s="426"/>
      <c r="G188" s="426"/>
      <c r="H188" s="433"/>
      <c r="I188" s="331"/>
      <c r="J188" s="331"/>
      <c r="K188" s="331"/>
      <c r="L188" s="331"/>
      <c r="M188" s="331"/>
    </row>
    <row r="189" spans="1:13" ht="14.4">
      <c r="A189" s="331"/>
      <c r="B189" s="434"/>
      <c r="C189" s="427"/>
      <c r="D189" s="467" t="s">
        <v>811</v>
      </c>
      <c r="E189" s="466"/>
      <c r="F189" s="428">
        <f t="shared" ref="F189:H189" si="69">+$B$188+$B$180*F180+$B$181*F181+$B$182*F182+$B$183*F183+$B$184*F184+$B$185*F185+$B$186*F186+$B$187*F187</f>
        <v>-2.3084389005562085</v>
      </c>
      <c r="G189" s="429">
        <f t="shared" si="69"/>
        <v>-1.8678407249127655</v>
      </c>
      <c r="H189" s="435">
        <f t="shared" si="69"/>
        <v>-2.51074333726595</v>
      </c>
      <c r="I189" s="331"/>
      <c r="J189" s="331"/>
      <c r="K189" s="331"/>
      <c r="L189" s="331"/>
      <c r="M189" s="331"/>
    </row>
    <row r="190" spans="1:13" thickBot="1">
      <c r="A190" s="331"/>
      <c r="B190" s="468" t="s">
        <v>812</v>
      </c>
      <c r="C190" s="469"/>
      <c r="D190" s="469"/>
      <c r="E190" s="469"/>
      <c r="F190" s="436"/>
      <c r="G190" s="436"/>
      <c r="H190" s="437"/>
      <c r="I190" s="331"/>
      <c r="J190" s="331"/>
      <c r="K190" s="331"/>
      <c r="L190" s="331"/>
      <c r="M190" s="331"/>
    </row>
    <row r="191" spans="1:13" thickBot="1">
      <c r="A191" s="331"/>
      <c r="B191" s="331"/>
      <c r="C191" s="470" t="s">
        <v>786</v>
      </c>
      <c r="D191" s="470"/>
      <c r="E191" s="471"/>
      <c r="F191" s="415"/>
      <c r="G191" s="416"/>
      <c r="H191" s="390"/>
      <c r="I191" s="331"/>
      <c r="J191" s="331"/>
      <c r="K191" s="331"/>
      <c r="L191" s="331"/>
      <c r="M191" s="331"/>
    </row>
    <row r="192" spans="1:13" ht="14.4">
      <c r="A192" s="331"/>
      <c r="B192" s="331"/>
      <c r="C192" s="459" t="s">
        <v>813</v>
      </c>
      <c r="D192" s="459"/>
      <c r="E192" s="460"/>
      <c r="F192" s="461" t="s">
        <v>814</v>
      </c>
      <c r="G192" s="462"/>
      <c r="H192" s="390"/>
      <c r="I192" s="331"/>
      <c r="J192" s="331"/>
      <c r="K192" s="331"/>
      <c r="L192" s="331"/>
      <c r="M192" s="331"/>
    </row>
    <row r="193" spans="1:13" ht="14.4">
      <c r="A193" s="331"/>
      <c r="B193" s="331"/>
      <c r="C193" s="459" t="s">
        <v>815</v>
      </c>
      <c r="D193" s="459"/>
      <c r="E193" s="460"/>
      <c r="F193" s="463" t="s">
        <v>816</v>
      </c>
      <c r="G193" s="464"/>
      <c r="H193" s="390"/>
      <c r="I193" s="331"/>
      <c r="J193" s="331"/>
      <c r="K193" s="331"/>
      <c r="L193" s="331"/>
      <c r="M193" s="331"/>
    </row>
    <row r="194" spans="1:13" ht="14.4">
      <c r="A194" s="331"/>
      <c r="B194" s="331"/>
      <c r="C194" s="331"/>
      <c r="D194" s="331"/>
      <c r="E194" s="331"/>
      <c r="F194" s="390"/>
      <c r="G194" s="390"/>
      <c r="H194" s="390"/>
      <c r="I194" s="331"/>
      <c r="J194" s="331"/>
      <c r="K194" s="331"/>
      <c r="L194" s="331"/>
      <c r="M194" s="331"/>
    </row>
    <row r="195" spans="1:13" ht="14.4">
      <c r="A195" s="331"/>
      <c r="B195" s="331"/>
      <c r="C195" s="331"/>
      <c r="D195" s="331"/>
      <c r="E195" s="331"/>
      <c r="F195" s="390"/>
      <c r="G195" s="390"/>
      <c r="H195" s="390"/>
      <c r="I195" s="331"/>
      <c r="J195" s="331"/>
      <c r="K195" s="331"/>
      <c r="L195" s="331"/>
      <c r="M195" s="331"/>
    </row>
    <row r="196" spans="1:13" ht="14.4">
      <c r="A196" s="331"/>
      <c r="B196" s="331"/>
      <c r="C196" s="331"/>
      <c r="D196" s="331"/>
      <c r="E196" s="331"/>
      <c r="F196" s="390"/>
      <c r="G196" s="390"/>
      <c r="H196" s="390"/>
      <c r="I196" s="331"/>
      <c r="J196" s="331"/>
      <c r="K196" s="331"/>
      <c r="L196" s="331"/>
      <c r="M196" s="331"/>
    </row>
    <row r="197" spans="1:13" ht="14.4">
      <c r="A197" s="331"/>
      <c r="B197" s="331"/>
      <c r="C197" s="331"/>
      <c r="D197" s="331"/>
      <c r="E197" s="331"/>
      <c r="F197" s="390"/>
      <c r="G197" s="390"/>
      <c r="H197" s="390"/>
      <c r="I197" s="331"/>
      <c r="J197" s="331"/>
      <c r="K197" s="331"/>
      <c r="L197" s="331"/>
      <c r="M197" s="331"/>
    </row>
    <row r="198" spans="1:13" ht="14.4">
      <c r="A198" s="331"/>
      <c r="B198" s="331"/>
      <c r="C198" s="331"/>
      <c r="D198" s="331"/>
      <c r="E198" s="331"/>
      <c r="F198" s="390"/>
      <c r="G198" s="390"/>
      <c r="H198" s="390"/>
      <c r="I198" s="331"/>
      <c r="J198" s="331"/>
      <c r="K198" s="331"/>
      <c r="L198" s="331"/>
      <c r="M198" s="331"/>
    </row>
    <row r="199" spans="1:13" ht="14.4">
      <c r="A199" s="331"/>
      <c r="B199" s="331"/>
      <c r="C199" s="331"/>
      <c r="D199" s="331"/>
      <c r="E199" s="331"/>
      <c r="F199" s="390"/>
      <c r="G199" s="390"/>
      <c r="H199" s="390"/>
      <c r="I199" s="331"/>
      <c r="J199" s="331"/>
      <c r="K199" s="331"/>
      <c r="L199" s="331"/>
      <c r="M199" s="331"/>
    </row>
    <row r="200" spans="1:13" ht="14.4">
      <c r="A200" s="331"/>
      <c r="B200" s="331"/>
      <c r="C200" s="331"/>
      <c r="D200" s="331"/>
      <c r="E200" s="331"/>
      <c r="F200" s="390"/>
      <c r="G200" s="390"/>
      <c r="H200" s="390"/>
      <c r="I200" s="331"/>
      <c r="J200" s="331"/>
      <c r="K200" s="331"/>
      <c r="L200" s="331"/>
      <c r="M200" s="331"/>
    </row>
    <row r="201" spans="1:13" ht="14.4">
      <c r="A201" s="331"/>
      <c r="B201" s="331"/>
      <c r="C201" s="331"/>
      <c r="D201" s="331"/>
      <c r="E201" s="331"/>
      <c r="F201" s="390"/>
      <c r="G201" s="390"/>
      <c r="H201" s="390"/>
      <c r="I201" s="331"/>
      <c r="J201" s="331"/>
      <c r="K201" s="331"/>
      <c r="L201" s="331"/>
      <c r="M201" s="331"/>
    </row>
    <row r="202" spans="1:13" ht="14.4">
      <c r="A202" s="331"/>
      <c r="B202" s="331"/>
      <c r="C202" s="331"/>
      <c r="D202" s="331"/>
      <c r="E202" s="331"/>
      <c r="F202" s="390"/>
      <c r="G202" s="390"/>
      <c r="H202" s="390"/>
      <c r="I202" s="331"/>
      <c r="J202" s="331"/>
      <c r="K202" s="331"/>
      <c r="L202" s="331"/>
      <c r="M202" s="331"/>
    </row>
    <row r="203" spans="1:13" ht="14.4">
      <c r="A203" s="331"/>
      <c r="B203" s="331"/>
      <c r="C203" s="331"/>
      <c r="D203" s="331"/>
      <c r="E203" s="331"/>
      <c r="F203" s="390"/>
      <c r="G203" s="390"/>
      <c r="H203" s="390"/>
      <c r="I203" s="331"/>
      <c r="J203" s="331"/>
      <c r="K203" s="331"/>
      <c r="L203" s="331"/>
      <c r="M203" s="331"/>
    </row>
    <row r="204" spans="1:13" ht="14.4">
      <c r="A204" s="331"/>
      <c r="B204" s="331"/>
      <c r="C204" s="331"/>
      <c r="D204" s="331"/>
      <c r="E204" s="331"/>
      <c r="F204" s="390"/>
      <c r="G204" s="390"/>
      <c r="H204" s="390"/>
      <c r="I204" s="331"/>
      <c r="J204" s="331"/>
      <c r="K204" s="331"/>
      <c r="L204" s="331"/>
      <c r="M204" s="331"/>
    </row>
    <row r="205" spans="1:13" ht="14.4">
      <c r="A205" s="331"/>
      <c r="B205" s="331"/>
      <c r="C205" s="331"/>
      <c r="D205" s="331"/>
      <c r="E205" s="331"/>
      <c r="F205" s="390"/>
      <c r="G205" s="390"/>
      <c r="H205" s="390"/>
      <c r="I205" s="331"/>
      <c r="J205" s="331"/>
      <c r="K205" s="331"/>
      <c r="L205" s="331"/>
      <c r="M205" s="331"/>
    </row>
    <row r="206" spans="1:13" ht="14.4">
      <c r="A206" s="331"/>
      <c r="B206" s="331"/>
      <c r="C206" s="331"/>
      <c r="D206" s="331"/>
      <c r="E206" s="331"/>
      <c r="F206" s="390"/>
      <c r="G206" s="390"/>
      <c r="H206" s="390"/>
      <c r="I206" s="331"/>
      <c r="J206" s="331"/>
      <c r="K206" s="331"/>
      <c r="L206" s="331"/>
      <c r="M206" s="331"/>
    </row>
    <row r="207" spans="1:13" ht="14.4">
      <c r="A207" s="331"/>
      <c r="B207" s="331"/>
      <c r="C207" s="331"/>
      <c r="D207" s="331"/>
      <c r="E207" s="331"/>
      <c r="F207" s="390"/>
      <c r="G207" s="390"/>
      <c r="H207" s="390"/>
      <c r="I207" s="331"/>
      <c r="J207" s="331"/>
      <c r="K207" s="331"/>
      <c r="L207" s="331"/>
      <c r="M207" s="331"/>
    </row>
    <row r="208" spans="1:13" ht="14.4">
      <c r="A208" s="331"/>
      <c r="B208" s="331"/>
      <c r="C208" s="331"/>
      <c r="D208" s="331"/>
      <c r="E208" s="331"/>
      <c r="F208" s="390"/>
      <c r="G208" s="390"/>
      <c r="H208" s="390"/>
      <c r="I208" s="331"/>
      <c r="J208" s="331"/>
      <c r="K208" s="331"/>
      <c r="L208" s="331"/>
      <c r="M208" s="331"/>
    </row>
    <row r="209" spans="1:13" ht="14.4">
      <c r="A209" s="331"/>
      <c r="B209" s="331"/>
      <c r="C209" s="331"/>
      <c r="D209" s="331"/>
      <c r="E209" s="331"/>
      <c r="F209" s="390"/>
      <c r="G209" s="390"/>
      <c r="H209" s="390"/>
      <c r="I209" s="331"/>
      <c r="J209" s="331"/>
      <c r="K209" s="331"/>
      <c r="L209" s="331"/>
      <c r="M209" s="331"/>
    </row>
  </sheetData>
  <mergeCells count="173">
    <mergeCell ref="C8:D8"/>
    <mergeCell ref="C9:D9"/>
    <mergeCell ref="C10:D10"/>
    <mergeCell ref="C11:D11"/>
    <mergeCell ref="C12:D12"/>
    <mergeCell ref="C13:D13"/>
    <mergeCell ref="B2:H2"/>
    <mergeCell ref="C3:D3"/>
    <mergeCell ref="C4:D4"/>
    <mergeCell ref="C5:D5"/>
    <mergeCell ref="C6:D6"/>
    <mergeCell ref="C7:D7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D48:E48"/>
    <mergeCell ref="D49:E49"/>
    <mergeCell ref="B53:H53"/>
    <mergeCell ref="D54:E54"/>
    <mergeCell ref="D55:E55"/>
    <mergeCell ref="D56:E56"/>
    <mergeCell ref="B51:H51"/>
    <mergeCell ref="C38:D38"/>
    <mergeCell ref="C39:D39"/>
    <mergeCell ref="B44:H44"/>
    <mergeCell ref="D45:E45"/>
    <mergeCell ref="D46:E46"/>
    <mergeCell ref="D47:E47"/>
    <mergeCell ref="B41:H41"/>
    <mergeCell ref="D68:E68"/>
    <mergeCell ref="D57:E57"/>
    <mergeCell ref="D58:E58"/>
    <mergeCell ref="D59:E59"/>
    <mergeCell ref="D60:E60"/>
    <mergeCell ref="D61:E61"/>
    <mergeCell ref="C67:E67"/>
    <mergeCell ref="B64:H64"/>
    <mergeCell ref="B66:H66"/>
    <mergeCell ref="D74:E74"/>
    <mergeCell ref="D75:E75"/>
    <mergeCell ref="D76:E76"/>
    <mergeCell ref="C80:E80"/>
    <mergeCell ref="D82:E82"/>
    <mergeCell ref="B79:H79"/>
    <mergeCell ref="D81:E81"/>
    <mergeCell ref="C69:E69"/>
    <mergeCell ref="D70:E70"/>
    <mergeCell ref="D71:E71"/>
    <mergeCell ref="D72:E72"/>
    <mergeCell ref="C73:E73"/>
    <mergeCell ref="B98:H98"/>
    <mergeCell ref="D100:E100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C88:E88"/>
    <mergeCell ref="D106:E106"/>
    <mergeCell ref="D107:E107"/>
    <mergeCell ref="D108:E108"/>
    <mergeCell ref="D109:E109"/>
    <mergeCell ref="D110:E110"/>
    <mergeCell ref="C111:E111"/>
    <mergeCell ref="C99:E99"/>
    <mergeCell ref="D102:E102"/>
    <mergeCell ref="D103:E103"/>
    <mergeCell ref="C104:E104"/>
    <mergeCell ref="D105:E105"/>
    <mergeCell ref="C123:D123"/>
    <mergeCell ref="C124:D124"/>
    <mergeCell ref="C125:D125"/>
    <mergeCell ref="C126:D126"/>
    <mergeCell ref="C127:D127"/>
    <mergeCell ref="C128:D128"/>
    <mergeCell ref="C112:E112"/>
    <mergeCell ref="D113:E113"/>
    <mergeCell ref="D114:E114"/>
    <mergeCell ref="D115:E115"/>
    <mergeCell ref="D116:E116"/>
    <mergeCell ref="B121:H121"/>
    <mergeCell ref="C135:D135"/>
    <mergeCell ref="C136:D136"/>
    <mergeCell ref="C137:D137"/>
    <mergeCell ref="C138:D138"/>
    <mergeCell ref="C139:D139"/>
    <mergeCell ref="C140:D140"/>
    <mergeCell ref="C129:D129"/>
    <mergeCell ref="C130:D130"/>
    <mergeCell ref="C131:D131"/>
    <mergeCell ref="C132:D132"/>
    <mergeCell ref="C133:D133"/>
    <mergeCell ref="C134:D134"/>
    <mergeCell ref="D151:E151"/>
    <mergeCell ref="D152:E152"/>
    <mergeCell ref="D153:E153"/>
    <mergeCell ref="B156:H156"/>
    <mergeCell ref="D158:E158"/>
    <mergeCell ref="C141:D141"/>
    <mergeCell ref="B146:H146"/>
    <mergeCell ref="D147:E147"/>
    <mergeCell ref="D148:E148"/>
    <mergeCell ref="D149:E149"/>
    <mergeCell ref="D150:E150"/>
    <mergeCell ref="B170:E170"/>
    <mergeCell ref="B171:E171"/>
    <mergeCell ref="C172:E172"/>
    <mergeCell ref="D159:E159"/>
    <mergeCell ref="D160:E160"/>
    <mergeCell ref="B163:H163"/>
    <mergeCell ref="B164:E164"/>
    <mergeCell ref="B165:E165"/>
    <mergeCell ref="B166:E166"/>
    <mergeCell ref="C193:E193"/>
    <mergeCell ref="F193:G193"/>
    <mergeCell ref="D185:E185"/>
    <mergeCell ref="D186:E186"/>
    <mergeCell ref="D187:E187"/>
    <mergeCell ref="D189:E189"/>
    <mergeCell ref="B190:E190"/>
    <mergeCell ref="C191:E191"/>
    <mergeCell ref="D188:E188"/>
    <mergeCell ref="B96:H96"/>
    <mergeCell ref="B177:H177"/>
    <mergeCell ref="C122:D122"/>
    <mergeCell ref="B144:H144"/>
    <mergeCell ref="C157:E157"/>
    <mergeCell ref="C101:E101"/>
    <mergeCell ref="B119:H119"/>
    <mergeCell ref="C192:E192"/>
    <mergeCell ref="F192:G192"/>
    <mergeCell ref="B179:E179"/>
    <mergeCell ref="D180:E180"/>
    <mergeCell ref="D181:E181"/>
    <mergeCell ref="D182:E182"/>
    <mergeCell ref="D183:E183"/>
    <mergeCell ref="D184:E184"/>
    <mergeCell ref="C173:E173"/>
    <mergeCell ref="F173:G173"/>
    <mergeCell ref="C174:E174"/>
    <mergeCell ref="F174:G174"/>
    <mergeCell ref="C175:E175"/>
    <mergeCell ref="F175:G175"/>
    <mergeCell ref="B167:E167"/>
    <mergeCell ref="B168:E168"/>
    <mergeCell ref="B169:E1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92"/>
  <sheetViews>
    <sheetView workbookViewId="0"/>
  </sheetViews>
  <sheetFormatPr defaultColWidth="12.5546875" defaultRowHeight="15" customHeight="1"/>
  <cols>
    <col min="1" max="1" width="30.5546875" customWidth="1"/>
    <col min="2" max="2" width="11.109375" hidden="1" customWidth="1"/>
    <col min="3" max="24" width="11.109375" customWidth="1"/>
  </cols>
  <sheetData>
    <row r="1" spans="1:8" ht="13.2">
      <c r="A1" s="61" t="s">
        <v>265</v>
      </c>
      <c r="B1" s="2"/>
      <c r="C1" s="2"/>
      <c r="D1" s="2"/>
      <c r="E1" s="2"/>
      <c r="H1" s="62"/>
    </row>
    <row r="2" spans="1:8" ht="13.2">
      <c r="A2" s="2" t="s">
        <v>607</v>
      </c>
      <c r="B2" s="2"/>
      <c r="C2" s="2"/>
      <c r="D2" s="2"/>
      <c r="E2" s="2"/>
      <c r="F2" s="2"/>
    </row>
    <row r="3" spans="1:8" ht="42" customHeight="1">
      <c r="A3" s="14" t="s">
        <v>32</v>
      </c>
      <c r="B3" s="15" t="s">
        <v>75</v>
      </c>
      <c r="C3" s="15" t="s">
        <v>74</v>
      </c>
      <c r="D3" s="15" t="s">
        <v>73</v>
      </c>
      <c r="E3" s="15" t="s">
        <v>72</v>
      </c>
      <c r="F3" s="15" t="s">
        <v>71</v>
      </c>
    </row>
    <row r="4" spans="1:8" ht="51" customHeight="1">
      <c r="A4" s="17"/>
      <c r="B4" s="18" t="s">
        <v>80</v>
      </c>
      <c r="C4" s="18" t="s">
        <v>80</v>
      </c>
      <c r="D4" s="18" t="s">
        <v>80</v>
      </c>
      <c r="E4" s="18" t="s">
        <v>80</v>
      </c>
      <c r="F4" s="18" t="s">
        <v>80</v>
      </c>
    </row>
    <row r="5" spans="1:8" ht="13.2">
      <c r="A5" s="78" t="s">
        <v>266</v>
      </c>
      <c r="B5" s="21">
        <v>10560719</v>
      </c>
      <c r="C5" s="21">
        <v>9241787</v>
      </c>
      <c r="D5" s="21">
        <v>12660706</v>
      </c>
      <c r="E5" s="21">
        <v>14473142</v>
      </c>
      <c r="F5" s="21">
        <v>14950204</v>
      </c>
    </row>
    <row r="6" spans="1:8" ht="20.399999999999999">
      <c r="A6" s="78" t="s">
        <v>267</v>
      </c>
      <c r="B6" s="21">
        <v>9712939</v>
      </c>
      <c r="C6" s="21">
        <v>8552816</v>
      </c>
      <c r="D6" s="21">
        <v>11619465</v>
      </c>
      <c r="E6" s="21">
        <v>13782014</v>
      </c>
      <c r="F6" s="21">
        <v>14294364</v>
      </c>
    </row>
    <row r="7" spans="1:8" ht="13.2">
      <c r="A7" s="78" t="s">
        <v>268</v>
      </c>
      <c r="B7" s="21">
        <v>0</v>
      </c>
      <c r="C7" s="21">
        <v>0</v>
      </c>
      <c r="D7" s="21">
        <v>0</v>
      </c>
      <c r="E7" s="21">
        <v>0</v>
      </c>
      <c r="F7" s="21">
        <v>0</v>
      </c>
    </row>
    <row r="8" spans="1:8" ht="20.399999999999999">
      <c r="A8" s="78" t="s">
        <v>269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</row>
    <row r="9" spans="1:8" ht="13.2">
      <c r="A9" s="78" t="s">
        <v>270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</row>
    <row r="10" spans="1:8" ht="13.2">
      <c r="A10" s="78" t="s">
        <v>271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</row>
    <row r="11" spans="1:8" ht="13.2">
      <c r="A11" s="78" t="s">
        <v>272</v>
      </c>
      <c r="B11" s="21">
        <v>847780</v>
      </c>
      <c r="C11" s="21">
        <v>688971</v>
      </c>
      <c r="D11" s="21">
        <v>1041241</v>
      </c>
      <c r="E11" s="21">
        <v>691128</v>
      </c>
      <c r="F11" s="21">
        <v>655840</v>
      </c>
    </row>
    <row r="12" spans="1:8" ht="13.2">
      <c r="A12" s="78" t="s">
        <v>273</v>
      </c>
      <c r="B12" s="21">
        <v>641183</v>
      </c>
      <c r="C12" s="21">
        <v>260024</v>
      </c>
      <c r="D12" s="21">
        <v>445901</v>
      </c>
      <c r="E12" s="21">
        <v>404719</v>
      </c>
      <c r="F12" s="21">
        <v>360311</v>
      </c>
    </row>
    <row r="13" spans="1:8" ht="13.2">
      <c r="A13" s="79"/>
      <c r="B13" s="80"/>
      <c r="C13" s="80"/>
      <c r="D13" s="80"/>
      <c r="E13" s="80"/>
      <c r="F13" s="80"/>
    </row>
    <row r="14" spans="1:8" ht="13.2">
      <c r="A14" s="78" t="s">
        <v>274</v>
      </c>
      <c r="B14" s="21">
        <v>10252064</v>
      </c>
      <c r="C14" s="21">
        <v>8694921</v>
      </c>
      <c r="D14" s="21">
        <v>11771660</v>
      </c>
      <c r="E14" s="21">
        <v>13217410</v>
      </c>
      <c r="F14" s="21">
        <v>13843795</v>
      </c>
    </row>
    <row r="15" spans="1:8" ht="20.399999999999999">
      <c r="A15" s="78" t="s">
        <v>275</v>
      </c>
      <c r="B15" s="21">
        <v>5324267</v>
      </c>
      <c r="C15" s="21">
        <v>4922052</v>
      </c>
      <c r="D15" s="21">
        <v>6273959</v>
      </c>
      <c r="E15" s="21">
        <v>7792575</v>
      </c>
      <c r="F15" s="21">
        <v>6960697</v>
      </c>
    </row>
    <row r="16" spans="1:8" ht="13.2">
      <c r="A16" s="78" t="s">
        <v>276</v>
      </c>
      <c r="B16" s="21">
        <v>2733445</v>
      </c>
      <c r="C16" s="21">
        <v>2242963</v>
      </c>
      <c r="D16" s="21">
        <v>2473024</v>
      </c>
      <c r="E16" s="21">
        <v>2871646</v>
      </c>
      <c r="F16" s="21">
        <v>3194159</v>
      </c>
    </row>
    <row r="17" spans="1:6" ht="13.2">
      <c r="A17" s="78" t="s">
        <v>277</v>
      </c>
      <c r="B17" s="21">
        <v>508533</v>
      </c>
      <c r="C17" s="21">
        <v>357317</v>
      </c>
      <c r="D17" s="21">
        <v>562664</v>
      </c>
      <c r="E17" s="21">
        <v>740801</v>
      </c>
      <c r="F17" s="21">
        <v>873725</v>
      </c>
    </row>
    <row r="18" spans="1:6" ht="13.2">
      <c r="A18" s="78" t="s">
        <v>278</v>
      </c>
      <c r="B18" s="21">
        <v>1556521</v>
      </c>
      <c r="C18" s="21">
        <v>1452701</v>
      </c>
      <c r="D18" s="21">
        <v>2128151</v>
      </c>
      <c r="E18" s="21">
        <v>2183699</v>
      </c>
      <c r="F18" s="21">
        <v>2452118</v>
      </c>
    </row>
    <row r="19" spans="1:6" ht="13.2">
      <c r="A19" s="81" t="s">
        <v>279</v>
      </c>
      <c r="B19" s="21">
        <v>1134167</v>
      </c>
      <c r="C19" s="21">
        <v>1080466</v>
      </c>
      <c r="D19" s="21">
        <v>1627397</v>
      </c>
      <c r="E19" s="21">
        <v>1610094</v>
      </c>
      <c r="F19" s="21">
        <v>1792751</v>
      </c>
    </row>
    <row r="20" spans="1:6" ht="13.2">
      <c r="A20" s="81" t="s">
        <v>280</v>
      </c>
      <c r="B20" s="21">
        <v>335048</v>
      </c>
      <c r="C20" s="21">
        <v>279171</v>
      </c>
      <c r="D20" s="21">
        <v>381848</v>
      </c>
      <c r="E20" s="21">
        <v>443742</v>
      </c>
      <c r="F20" s="21">
        <v>511618</v>
      </c>
    </row>
    <row r="21" spans="1:6" ht="13.2">
      <c r="A21" s="81" t="s">
        <v>281</v>
      </c>
      <c r="B21" s="21">
        <v>87221</v>
      </c>
      <c r="C21" s="21">
        <v>93064</v>
      </c>
      <c r="D21" s="21">
        <v>114738</v>
      </c>
      <c r="E21" s="21">
        <v>129863</v>
      </c>
      <c r="F21" s="21">
        <v>140302</v>
      </c>
    </row>
    <row r="22" spans="1:6" ht="20.399999999999999">
      <c r="A22" s="81" t="s">
        <v>282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</row>
    <row r="23" spans="1:6" ht="13.2">
      <c r="A23" s="81" t="s">
        <v>283</v>
      </c>
      <c r="B23" s="21">
        <v>85</v>
      </c>
      <c r="C23" s="21">
        <v>0</v>
      </c>
      <c r="D23" s="21">
        <v>4168</v>
      </c>
      <c r="E23" s="21">
        <v>0</v>
      </c>
      <c r="F23" s="21">
        <v>7447</v>
      </c>
    </row>
    <row r="24" spans="1:6" ht="20.399999999999999">
      <c r="A24" s="81" t="s">
        <v>284</v>
      </c>
      <c r="B24" s="21">
        <v>87306</v>
      </c>
      <c r="C24" s="21">
        <v>93064</v>
      </c>
      <c r="D24" s="21">
        <v>118906</v>
      </c>
      <c r="E24" s="21">
        <v>129863</v>
      </c>
      <c r="F24" s="21">
        <v>147749</v>
      </c>
    </row>
    <row r="25" spans="1:6" ht="20.399999999999999">
      <c r="A25" s="78" t="s">
        <v>285</v>
      </c>
      <c r="B25" s="21">
        <v>393099</v>
      </c>
      <c r="C25" s="21">
        <v>342652</v>
      </c>
      <c r="D25" s="21">
        <v>584234</v>
      </c>
      <c r="E25" s="21">
        <v>352969</v>
      </c>
      <c r="F25" s="21">
        <v>406658</v>
      </c>
    </row>
    <row r="26" spans="1:6" ht="20.399999999999999">
      <c r="A26" s="81" t="s">
        <v>286</v>
      </c>
      <c r="B26" s="21">
        <v>86562</v>
      </c>
      <c r="C26" s="21">
        <v>85612</v>
      </c>
      <c r="D26" s="21">
        <v>68609</v>
      </c>
      <c r="E26" s="21">
        <v>241483</v>
      </c>
      <c r="F26" s="21">
        <v>265938</v>
      </c>
    </row>
    <row r="27" spans="1:6" ht="13.2">
      <c r="A27" s="81" t="s">
        <v>287</v>
      </c>
      <c r="B27" s="21">
        <v>44245</v>
      </c>
      <c r="C27" s="21">
        <v>44125</v>
      </c>
      <c r="D27" s="21">
        <v>50982</v>
      </c>
      <c r="E27" s="21">
        <v>65514</v>
      </c>
      <c r="F27" s="21">
        <v>104667</v>
      </c>
    </row>
    <row r="28" spans="1:6" ht="13.2">
      <c r="A28" s="81" t="s">
        <v>288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</row>
    <row r="29" spans="1:6" ht="30.6">
      <c r="A29" s="81" t="s">
        <v>289</v>
      </c>
      <c r="B29" s="21">
        <v>130807</v>
      </c>
      <c r="C29" s="21">
        <v>129737</v>
      </c>
      <c r="D29" s="21">
        <v>119591</v>
      </c>
      <c r="E29" s="21">
        <v>306997</v>
      </c>
      <c r="F29" s="21">
        <v>370605</v>
      </c>
    </row>
    <row r="30" spans="1:6" ht="13.2">
      <c r="A30" s="81" t="s">
        <v>290</v>
      </c>
      <c r="B30" s="21">
        <v>262292</v>
      </c>
      <c r="C30" s="21">
        <v>212915</v>
      </c>
      <c r="D30" s="21">
        <v>464643</v>
      </c>
      <c r="E30" s="21">
        <v>45972</v>
      </c>
      <c r="F30" s="21">
        <v>36053</v>
      </c>
    </row>
    <row r="31" spans="1:6" ht="20.399999999999999">
      <c r="A31" s="78" t="s">
        <v>291</v>
      </c>
      <c r="B31" s="21">
        <v>-271680</v>
      </c>
      <c r="C31" s="21">
        <v>-640807</v>
      </c>
      <c r="D31" s="21">
        <v>-268220</v>
      </c>
      <c r="E31" s="21">
        <v>-738763</v>
      </c>
      <c r="F31" s="21">
        <v>-70619</v>
      </c>
    </row>
    <row r="32" spans="1:6" ht="13.2">
      <c r="A32" s="81" t="s">
        <v>292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</row>
    <row r="33" spans="1:6" ht="13.2">
      <c r="A33" s="81" t="s">
        <v>293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</row>
    <row r="34" spans="1:6" ht="13.2">
      <c r="A34" s="78" t="s">
        <v>294</v>
      </c>
      <c r="B34" s="21">
        <v>7879</v>
      </c>
      <c r="C34" s="21">
        <v>18043</v>
      </c>
      <c r="D34" s="21">
        <v>17848</v>
      </c>
      <c r="E34" s="21">
        <v>14483</v>
      </c>
      <c r="F34" s="21">
        <v>27057</v>
      </c>
    </row>
    <row r="35" spans="1:6" ht="13.2">
      <c r="A35" s="79"/>
      <c r="B35" s="80"/>
      <c r="C35" s="80"/>
      <c r="D35" s="80"/>
      <c r="E35" s="80"/>
      <c r="F35" s="80"/>
    </row>
    <row r="36" spans="1:6" ht="13.2">
      <c r="A36" s="78" t="s">
        <v>295</v>
      </c>
      <c r="B36" s="21">
        <v>308655</v>
      </c>
      <c r="C36" s="21">
        <v>546866</v>
      </c>
      <c r="D36" s="21">
        <v>889046</v>
      </c>
      <c r="E36" s="21">
        <v>1255732</v>
      </c>
      <c r="F36" s="21">
        <v>1106409</v>
      </c>
    </row>
    <row r="37" spans="1:6" ht="13.2">
      <c r="A37" s="78" t="s">
        <v>296</v>
      </c>
      <c r="B37" s="21">
        <v>2258275</v>
      </c>
      <c r="C37" s="21">
        <v>2342219</v>
      </c>
      <c r="D37" s="21">
        <v>3601431</v>
      </c>
      <c r="E37" s="21">
        <v>3792400</v>
      </c>
      <c r="F37" s="21">
        <v>3965185</v>
      </c>
    </row>
    <row r="38" spans="1:6" ht="13.2">
      <c r="A38" s="79"/>
      <c r="B38" s="80"/>
      <c r="C38" s="80"/>
      <c r="D38" s="80"/>
      <c r="E38" s="80"/>
      <c r="F38" s="80"/>
    </row>
    <row r="39" spans="1:6" ht="20.399999999999999">
      <c r="A39" s="78" t="s">
        <v>297</v>
      </c>
      <c r="B39" s="21">
        <v>-191344</v>
      </c>
      <c r="C39" s="21">
        <v>-166693</v>
      </c>
      <c r="D39" s="21">
        <v>-173465</v>
      </c>
      <c r="E39" s="21">
        <v>-239731</v>
      </c>
      <c r="F39" s="21">
        <v>-308060</v>
      </c>
    </row>
    <row r="40" spans="1:6" ht="20.399999999999999">
      <c r="A40" s="78" t="s">
        <v>298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</row>
    <row r="41" spans="1:6" ht="30.6">
      <c r="A41" s="78" t="s">
        <v>299</v>
      </c>
      <c r="B41" s="82" t="s">
        <v>104</v>
      </c>
      <c r="C41" s="82" t="s">
        <v>104</v>
      </c>
      <c r="D41" s="82" t="s">
        <v>104</v>
      </c>
      <c r="E41" s="82" t="s">
        <v>104</v>
      </c>
      <c r="F41" s="82" t="s">
        <v>104</v>
      </c>
    </row>
    <row r="42" spans="1:6" ht="13.2">
      <c r="A42" s="78" t="s">
        <v>300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</row>
    <row r="43" spans="1:6" ht="20.399999999999999">
      <c r="A43" s="78" t="s">
        <v>301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</row>
    <row r="44" spans="1:6" ht="13.2">
      <c r="A44" s="78" t="s">
        <v>302</v>
      </c>
      <c r="B44" s="21">
        <v>584</v>
      </c>
      <c r="C44" s="21">
        <v>291</v>
      </c>
      <c r="D44" s="21">
        <v>258</v>
      </c>
      <c r="E44" s="21">
        <v>333</v>
      </c>
      <c r="F44" s="21">
        <v>74265</v>
      </c>
    </row>
    <row r="45" spans="1:6" ht="13.2">
      <c r="A45" s="78" t="s">
        <v>303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</row>
    <row r="46" spans="1:6" ht="30.6">
      <c r="A46" s="78" t="s">
        <v>304</v>
      </c>
      <c r="B46" s="82" t="s">
        <v>104</v>
      </c>
      <c r="C46" s="82" t="s">
        <v>104</v>
      </c>
      <c r="D46" s="82" t="s">
        <v>104</v>
      </c>
      <c r="E46" s="82" t="s">
        <v>104</v>
      </c>
      <c r="F46" s="82" t="s">
        <v>104</v>
      </c>
    </row>
    <row r="47" spans="1:6" ht="20.399999999999999">
      <c r="A47" s="78" t="s">
        <v>305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</row>
    <row r="48" spans="1:6" ht="20.399999999999999">
      <c r="A48" s="78" t="s">
        <v>306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</row>
    <row r="49" spans="1:6" ht="20.399999999999999">
      <c r="A49" s="78" t="s">
        <v>307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</row>
    <row r="50" spans="1:6" ht="13.2">
      <c r="A50" s="78" t="s">
        <v>308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</row>
    <row r="51" spans="1:6" ht="13.2">
      <c r="A51" s="78" t="s">
        <v>309</v>
      </c>
      <c r="B51" s="21">
        <v>584</v>
      </c>
      <c r="C51" s="21">
        <v>291</v>
      </c>
      <c r="D51" s="21">
        <v>258</v>
      </c>
      <c r="E51" s="21">
        <v>333</v>
      </c>
      <c r="F51" s="21">
        <v>74265</v>
      </c>
    </row>
    <row r="52" spans="1:6" ht="30.6">
      <c r="A52" s="78" t="s">
        <v>304</v>
      </c>
      <c r="B52" s="82" t="s">
        <v>104</v>
      </c>
      <c r="C52" s="21">
        <v>0</v>
      </c>
      <c r="D52" s="21">
        <v>0</v>
      </c>
      <c r="E52" s="21">
        <v>0</v>
      </c>
      <c r="F52" s="21">
        <v>0</v>
      </c>
    </row>
    <row r="53" spans="1:6" ht="20.399999999999999">
      <c r="A53" s="78" t="s">
        <v>305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</row>
    <row r="54" spans="1:6" ht="13.2">
      <c r="A54" s="78" t="s">
        <v>310</v>
      </c>
      <c r="B54" s="21">
        <v>191809</v>
      </c>
      <c r="C54" s="21">
        <v>166922</v>
      </c>
      <c r="D54" s="21">
        <v>173690</v>
      </c>
      <c r="E54" s="21">
        <v>240050</v>
      </c>
      <c r="F54" s="21">
        <v>382279</v>
      </c>
    </row>
    <row r="55" spans="1:6" ht="20.399999999999999">
      <c r="A55" s="78" t="s">
        <v>311</v>
      </c>
      <c r="B55" s="82" t="s">
        <v>104</v>
      </c>
      <c r="C55" s="21">
        <v>0</v>
      </c>
      <c r="D55" s="21">
        <v>0</v>
      </c>
      <c r="E55" s="21">
        <v>0</v>
      </c>
      <c r="F55" s="21">
        <v>0</v>
      </c>
    </row>
    <row r="56" spans="1:6" ht="20.399999999999999">
      <c r="A56" s="78" t="s">
        <v>301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</row>
    <row r="57" spans="1:6" ht="20.399999999999999">
      <c r="A57" s="78" t="s">
        <v>312</v>
      </c>
      <c r="B57" s="21">
        <v>-119</v>
      </c>
      <c r="C57" s="21">
        <v>-62</v>
      </c>
      <c r="D57" s="21">
        <v>-33</v>
      </c>
      <c r="E57" s="21">
        <v>-14</v>
      </c>
      <c r="F57" s="21">
        <v>-46</v>
      </c>
    </row>
    <row r="58" spans="1:6" ht="13.2">
      <c r="A58" s="79"/>
      <c r="B58" s="80"/>
      <c r="C58" s="80"/>
      <c r="D58" s="80"/>
      <c r="E58" s="80"/>
      <c r="F58" s="80"/>
    </row>
    <row r="59" spans="1:6" ht="20.399999999999999">
      <c r="A59" s="78" t="s">
        <v>313</v>
      </c>
      <c r="B59" s="21">
        <v>-89095</v>
      </c>
      <c r="C59" s="21">
        <v>0</v>
      </c>
      <c r="D59" s="21">
        <v>0</v>
      </c>
      <c r="E59" s="21">
        <v>0</v>
      </c>
      <c r="F59" s="21">
        <v>0</v>
      </c>
    </row>
    <row r="60" spans="1:6" ht="13.2">
      <c r="A60" s="78" t="s">
        <v>314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</row>
    <row r="61" spans="1:6" ht="13.2">
      <c r="A61" s="78" t="s">
        <v>315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</row>
    <row r="62" spans="1:6" ht="20.399999999999999">
      <c r="A62" s="78" t="s">
        <v>316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</row>
    <row r="63" spans="1:6" ht="13.2">
      <c r="A63" s="78" t="s">
        <v>317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</row>
    <row r="64" spans="1:6" ht="13.2">
      <c r="A64" s="78" t="s">
        <v>318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</row>
    <row r="65" spans="1:6" ht="20.399999999999999">
      <c r="A65" s="78" t="s">
        <v>319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</row>
    <row r="66" spans="1:6" ht="13.2">
      <c r="A66" s="78" t="s">
        <v>320</v>
      </c>
      <c r="B66" s="21">
        <v>89095</v>
      </c>
      <c r="C66" s="21">
        <v>0</v>
      </c>
      <c r="D66" s="21">
        <v>0</v>
      </c>
      <c r="E66" s="21">
        <v>0</v>
      </c>
      <c r="F66" s="21">
        <v>0</v>
      </c>
    </row>
    <row r="67" spans="1:6" ht="13.2">
      <c r="A67" s="78" t="s">
        <v>321</v>
      </c>
      <c r="B67" s="21">
        <v>89095</v>
      </c>
      <c r="C67" s="21">
        <v>0</v>
      </c>
      <c r="D67" s="21">
        <v>0</v>
      </c>
      <c r="E67" s="21">
        <v>0</v>
      </c>
      <c r="F67" s="21">
        <v>0</v>
      </c>
    </row>
    <row r="68" spans="1:6" ht="13.2">
      <c r="A68" s="78" t="s">
        <v>322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</row>
    <row r="69" spans="1:6" ht="13.2">
      <c r="A69" s="78" t="s">
        <v>323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</row>
    <row r="70" spans="1:6" ht="13.2">
      <c r="A70" s="78" t="s">
        <v>324</v>
      </c>
      <c r="B70" s="21">
        <v>0</v>
      </c>
      <c r="C70" s="21">
        <v>0</v>
      </c>
      <c r="D70" s="21">
        <v>0</v>
      </c>
      <c r="E70" s="21">
        <v>0</v>
      </c>
      <c r="F70" s="21">
        <v>0</v>
      </c>
    </row>
    <row r="71" spans="1:6" ht="20.399999999999999">
      <c r="A71" s="78" t="s">
        <v>325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</row>
    <row r="72" spans="1:6" ht="13.2">
      <c r="A72" s="79"/>
      <c r="B72" s="80"/>
      <c r="C72" s="80"/>
      <c r="D72" s="80"/>
      <c r="E72" s="80"/>
      <c r="F72" s="80"/>
    </row>
    <row r="73" spans="1:6" ht="20.399999999999999">
      <c r="A73" s="78" t="s">
        <v>326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</row>
    <row r="74" spans="1:6" ht="13.2">
      <c r="A74" s="78" t="s">
        <v>327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</row>
    <row r="75" spans="1:6" ht="13.2">
      <c r="A75" s="78" t="s">
        <v>328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</row>
    <row r="76" spans="1:6" ht="13.2">
      <c r="A76" s="78" t="s">
        <v>329</v>
      </c>
      <c r="B76" s="21">
        <v>0</v>
      </c>
      <c r="C76" s="21">
        <v>0</v>
      </c>
      <c r="D76" s="21">
        <v>0</v>
      </c>
      <c r="E76" s="21">
        <v>0</v>
      </c>
      <c r="F76" s="21">
        <v>0</v>
      </c>
    </row>
    <row r="77" spans="1:6" ht="13.2">
      <c r="A77" s="78" t="s">
        <v>330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</row>
    <row r="78" spans="1:6" ht="13.2">
      <c r="A78" s="78" t="s">
        <v>331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</row>
    <row r="79" spans="1:6" ht="13.2">
      <c r="A79" s="79"/>
      <c r="B79" s="80"/>
      <c r="C79" s="80"/>
      <c r="D79" s="80"/>
      <c r="E79" s="80"/>
      <c r="F79" s="80"/>
    </row>
    <row r="80" spans="1:6" ht="13.2">
      <c r="A80" s="78" t="s">
        <v>332</v>
      </c>
      <c r="B80" s="21">
        <v>28216</v>
      </c>
      <c r="C80" s="21">
        <v>380173</v>
      </c>
      <c r="D80" s="21">
        <v>715581</v>
      </c>
      <c r="E80" s="21">
        <v>1016001</v>
      </c>
      <c r="F80" s="21">
        <v>798349</v>
      </c>
    </row>
    <row r="81" spans="1:6" ht="20.399999999999999">
      <c r="A81" s="78" t="s">
        <v>333</v>
      </c>
      <c r="B81" s="21">
        <v>8512</v>
      </c>
      <c r="C81" s="21">
        <v>75423</v>
      </c>
      <c r="D81" s="21">
        <v>201773</v>
      </c>
      <c r="E81" s="21">
        <v>239221</v>
      </c>
      <c r="F81" s="21">
        <v>126060</v>
      </c>
    </row>
    <row r="82" spans="1:6" ht="13.2">
      <c r="A82" s="78" t="s">
        <v>334</v>
      </c>
      <c r="B82" s="21">
        <v>8512</v>
      </c>
      <c r="C82" s="21">
        <v>75423</v>
      </c>
      <c r="D82" s="21">
        <v>201773</v>
      </c>
      <c r="E82" s="21">
        <v>239221</v>
      </c>
      <c r="F82" s="21">
        <v>126060</v>
      </c>
    </row>
    <row r="83" spans="1:6" ht="13.2">
      <c r="A83" s="78" t="s">
        <v>335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</row>
    <row r="84" spans="1:6" ht="13.2">
      <c r="A84" s="78" t="s">
        <v>336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</row>
    <row r="85" spans="1:6" ht="13.2">
      <c r="A85" s="78" t="s">
        <v>337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</row>
    <row r="86" spans="1:6" ht="13.2">
      <c r="A86" s="78" t="s">
        <v>338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</row>
    <row r="87" spans="1:6" ht="20.399999999999999">
      <c r="A87" s="78" t="s">
        <v>339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</row>
    <row r="88" spans="1:6" ht="13.2">
      <c r="A88" s="79"/>
      <c r="B88" s="80"/>
      <c r="C88" s="80"/>
      <c r="D88" s="80"/>
      <c r="E88" s="80"/>
      <c r="F88" s="80"/>
    </row>
    <row r="89" spans="1:6" ht="13.2">
      <c r="A89" s="78" t="s">
        <v>340</v>
      </c>
      <c r="B89" s="21">
        <v>19704</v>
      </c>
      <c r="C89" s="21">
        <v>304750</v>
      </c>
      <c r="D89" s="21">
        <v>513808</v>
      </c>
      <c r="E89" s="21">
        <v>776780</v>
      </c>
      <c r="F89" s="21">
        <v>672289</v>
      </c>
    </row>
    <row r="90" spans="1:6" ht="13.2">
      <c r="A90" s="78" t="s">
        <v>341</v>
      </c>
      <c r="B90" s="82" t="s">
        <v>104</v>
      </c>
      <c r="C90" s="82" t="s">
        <v>104</v>
      </c>
      <c r="D90" s="82" t="s">
        <v>104</v>
      </c>
      <c r="E90" s="82" t="s">
        <v>104</v>
      </c>
      <c r="F90" s="82" t="s">
        <v>104</v>
      </c>
    </row>
    <row r="91" spans="1:6" ht="13.2">
      <c r="A91" s="78" t="s">
        <v>342</v>
      </c>
      <c r="B91" s="21">
        <v>19704</v>
      </c>
      <c r="C91" s="21">
        <v>304750</v>
      </c>
      <c r="D91" s="21">
        <v>513808</v>
      </c>
      <c r="E91" s="21">
        <v>776780</v>
      </c>
      <c r="F91" s="21">
        <v>672289</v>
      </c>
    </row>
    <row r="92" spans="1:6" ht="13.2">
      <c r="A92" s="79"/>
      <c r="B92" s="80"/>
      <c r="C92" s="80"/>
      <c r="D92" s="80"/>
      <c r="E92" s="80"/>
      <c r="F92" s="80"/>
    </row>
    <row r="93" spans="1:6" ht="13.2">
      <c r="A93" s="78" t="s">
        <v>343</v>
      </c>
      <c r="B93" s="21">
        <v>36</v>
      </c>
      <c r="C93" s="21">
        <v>38</v>
      </c>
      <c r="D93" s="21">
        <v>40</v>
      </c>
      <c r="E93" s="21">
        <v>42</v>
      </c>
      <c r="F93" s="21">
        <v>48</v>
      </c>
    </row>
    <row r="94" spans="1:6" ht="13.2">
      <c r="A94" s="17"/>
      <c r="B94" s="17"/>
      <c r="C94" s="17"/>
      <c r="D94" s="17"/>
      <c r="E94" s="17"/>
      <c r="F94" s="17"/>
    </row>
    <row r="95" spans="1:6" ht="13.2">
      <c r="A95" s="19"/>
      <c r="C95" s="20"/>
      <c r="D95" s="20"/>
      <c r="E95" s="20"/>
      <c r="F95" s="20"/>
    </row>
    <row r="96" spans="1:6" ht="13.2">
      <c r="A96" s="19"/>
      <c r="C96" s="20"/>
      <c r="D96" s="20"/>
      <c r="E96" s="20"/>
      <c r="F96" s="20"/>
    </row>
    <row r="97" spans="1:6" ht="13.2">
      <c r="A97" s="17"/>
      <c r="C97" s="17"/>
      <c r="D97" s="17"/>
      <c r="E97" s="17"/>
      <c r="F97" s="17"/>
    </row>
    <row r="98" spans="1:6" ht="13.2">
      <c r="A98" s="19"/>
      <c r="C98" s="20"/>
      <c r="D98" s="20"/>
      <c r="E98" s="20"/>
      <c r="F98" s="20"/>
    </row>
    <row r="99" spans="1:6" ht="13.2">
      <c r="A99" s="19"/>
      <c r="C99" s="20"/>
      <c r="D99" s="20"/>
      <c r="E99" s="20"/>
      <c r="F99" s="20"/>
    </row>
    <row r="100" spans="1:6" ht="13.2">
      <c r="A100" s="19"/>
      <c r="C100" s="20"/>
      <c r="D100" s="20"/>
      <c r="E100" s="20"/>
      <c r="F100" s="20"/>
    </row>
    <row r="101" spans="1:6" ht="13.2">
      <c r="A101" s="19"/>
      <c r="C101" s="20"/>
      <c r="D101" s="20"/>
      <c r="E101" s="20"/>
      <c r="F101" s="20"/>
    </row>
    <row r="102" spans="1:6" ht="13.2">
      <c r="A102" s="17"/>
      <c r="C102" s="17"/>
      <c r="D102" s="17"/>
      <c r="E102" s="17"/>
      <c r="F102" s="17"/>
    </row>
    <row r="103" spans="1:6" ht="13.2">
      <c r="A103" s="19"/>
      <c r="C103" s="20"/>
      <c r="D103" s="20"/>
      <c r="E103" s="20"/>
      <c r="F103" s="20"/>
    </row>
    <row r="104" spans="1:6" ht="13.2">
      <c r="A104" s="19"/>
      <c r="C104" s="18"/>
      <c r="D104" s="18"/>
      <c r="E104" s="18"/>
      <c r="F104" s="18"/>
    </row>
    <row r="105" spans="1:6" ht="13.2">
      <c r="A105" s="17"/>
      <c r="C105" s="17"/>
      <c r="D105" s="17"/>
      <c r="E105" s="17"/>
      <c r="F105" s="17"/>
    </row>
    <row r="106" spans="1:6" ht="13.2">
      <c r="A106" s="19"/>
      <c r="C106" s="20"/>
      <c r="D106" s="20"/>
      <c r="E106" s="20"/>
      <c r="F106" s="20"/>
    </row>
    <row r="107" spans="1:6" ht="13.2">
      <c r="A107" s="17"/>
      <c r="C107" s="17"/>
      <c r="D107" s="17"/>
      <c r="E107" s="17"/>
      <c r="F107" s="17"/>
    </row>
    <row r="108" spans="1:6" ht="13.2">
      <c r="A108" s="24"/>
      <c r="C108" s="25"/>
      <c r="D108" s="25"/>
      <c r="E108" s="25"/>
      <c r="F108" s="25"/>
    </row>
    <row r="109" spans="1:6" ht="13.2">
      <c r="A109" s="17"/>
      <c r="C109" s="17"/>
      <c r="D109" s="17"/>
      <c r="E109" s="17"/>
      <c r="F109" s="17"/>
    </row>
    <row r="110" spans="1:6" ht="13.2">
      <c r="A110" s="29"/>
      <c r="C110" s="30"/>
      <c r="D110" s="30"/>
      <c r="E110" s="30"/>
      <c r="F110" s="30"/>
    </row>
    <row r="111" spans="1:6" ht="13.2">
      <c r="A111" s="17"/>
      <c r="C111" s="17"/>
      <c r="D111" s="17"/>
      <c r="E111" s="17"/>
      <c r="F111" s="17"/>
    </row>
    <row r="112" spans="1:6" ht="13.2">
      <c r="A112" s="19"/>
      <c r="C112" s="20"/>
      <c r="D112" s="20"/>
      <c r="E112" s="20"/>
      <c r="F112" s="20"/>
    </row>
    <row r="113" spans="1:6" ht="13.2">
      <c r="A113" s="19"/>
      <c r="C113" s="20"/>
      <c r="D113" s="20"/>
      <c r="E113" s="20"/>
      <c r="F113" s="20"/>
    </row>
    <row r="114" spans="1:6" ht="13.2">
      <c r="A114" s="19"/>
      <c r="C114" s="20"/>
      <c r="D114" s="20"/>
      <c r="E114" s="20"/>
      <c r="F114" s="20"/>
    </row>
    <row r="115" spans="1:6" ht="13.2">
      <c r="A115" s="19"/>
      <c r="C115" s="20"/>
      <c r="D115" s="20"/>
      <c r="E115" s="20"/>
      <c r="F115" s="20"/>
    </row>
    <row r="116" spans="1:6" ht="13.2">
      <c r="A116" s="19"/>
      <c r="C116" s="20"/>
      <c r="D116" s="20"/>
      <c r="E116" s="20"/>
      <c r="F116" s="20"/>
    </row>
    <row r="117" spans="1:6" ht="13.2">
      <c r="A117" s="19"/>
      <c r="C117" s="20"/>
      <c r="D117" s="20"/>
      <c r="E117" s="20"/>
      <c r="F117" s="20"/>
    </row>
    <row r="118" spans="1:6" ht="13.2">
      <c r="A118" s="19"/>
      <c r="C118" s="20"/>
      <c r="D118" s="20"/>
      <c r="E118" s="20"/>
      <c r="F118" s="20"/>
    </row>
    <row r="119" spans="1:6" ht="13.2">
      <c r="A119" s="19"/>
      <c r="C119" s="20"/>
      <c r="D119" s="20"/>
      <c r="E119" s="20"/>
      <c r="F119" s="20"/>
    </row>
    <row r="120" spans="1:6" ht="13.2">
      <c r="A120" s="19"/>
      <c r="C120" s="20"/>
      <c r="D120" s="20"/>
      <c r="E120" s="20"/>
      <c r="F120" s="20"/>
    </row>
    <row r="121" spans="1:6" ht="13.2">
      <c r="A121" s="19"/>
      <c r="C121" s="20"/>
      <c r="D121" s="20"/>
      <c r="E121" s="20"/>
      <c r="F121" s="20"/>
    </row>
    <row r="122" spans="1:6" ht="13.2">
      <c r="A122" s="19"/>
      <c r="C122" s="20"/>
      <c r="D122" s="20"/>
      <c r="E122" s="20"/>
      <c r="F122" s="20"/>
    </row>
    <row r="123" spans="1:6" ht="13.2">
      <c r="A123" s="19"/>
      <c r="C123" s="20"/>
      <c r="D123" s="20"/>
      <c r="E123" s="20"/>
      <c r="F123" s="20"/>
    </row>
    <row r="124" spans="1:6" ht="13.2">
      <c r="A124" s="19"/>
      <c r="C124" s="18"/>
      <c r="D124" s="18"/>
      <c r="E124" s="18"/>
      <c r="F124" s="18"/>
    </row>
    <row r="125" spans="1:6" ht="13.2">
      <c r="A125" s="19"/>
      <c r="C125" s="20"/>
      <c r="D125" s="20"/>
      <c r="E125" s="20"/>
      <c r="F125" s="20"/>
    </row>
    <row r="126" spans="1:6" ht="13.2">
      <c r="A126" s="19"/>
      <c r="C126" s="20"/>
      <c r="D126" s="20"/>
      <c r="E126" s="20"/>
      <c r="F126" s="20"/>
    </row>
    <row r="127" spans="1:6" ht="13.2">
      <c r="A127" s="19"/>
      <c r="C127" s="20"/>
      <c r="D127" s="20"/>
      <c r="E127" s="20"/>
      <c r="F127" s="20"/>
    </row>
    <row r="128" spans="1:6" ht="13.2">
      <c r="A128" s="19"/>
      <c r="C128" s="20"/>
      <c r="D128" s="20"/>
      <c r="E128" s="20"/>
      <c r="F128" s="20"/>
    </row>
    <row r="129" spans="1:6" ht="13.2">
      <c r="A129" s="19"/>
      <c r="C129" s="20"/>
      <c r="D129" s="20"/>
      <c r="E129" s="20"/>
      <c r="F129" s="20"/>
    </row>
    <row r="130" spans="1:6" ht="13.2">
      <c r="A130" s="19"/>
      <c r="C130" s="20"/>
      <c r="D130" s="20"/>
      <c r="E130" s="20"/>
      <c r="F130" s="20"/>
    </row>
    <row r="131" spans="1:6" ht="13.2">
      <c r="A131" s="19"/>
      <c r="C131" s="18"/>
      <c r="D131" s="18"/>
      <c r="E131" s="18"/>
      <c r="F131" s="18"/>
    </row>
    <row r="132" spans="1:6" ht="13.2">
      <c r="A132" s="19"/>
      <c r="C132" s="18"/>
      <c r="D132" s="18"/>
      <c r="E132" s="18"/>
      <c r="F132" s="18"/>
    </row>
    <row r="133" spans="1:6" ht="13.2">
      <c r="A133" s="19"/>
      <c r="C133" s="20"/>
      <c r="D133" s="20"/>
      <c r="E133" s="20"/>
      <c r="F133" s="20"/>
    </row>
    <row r="134" spans="1:6" ht="13.2">
      <c r="A134" s="19"/>
      <c r="C134" s="18"/>
      <c r="D134" s="18"/>
      <c r="E134" s="18"/>
      <c r="F134" s="18"/>
    </row>
    <row r="135" spans="1:6" ht="13.2">
      <c r="A135" s="19"/>
      <c r="C135" s="18"/>
      <c r="D135" s="18"/>
      <c r="E135" s="18"/>
      <c r="F135" s="18"/>
    </row>
    <row r="136" spans="1:6" ht="13.2">
      <c r="A136" s="17"/>
      <c r="C136" s="17"/>
      <c r="D136" s="17"/>
      <c r="E136" s="17"/>
      <c r="F136" s="17"/>
    </row>
    <row r="137" spans="1:6" ht="13.2">
      <c r="A137" s="19"/>
      <c r="C137" s="20"/>
      <c r="D137" s="20"/>
      <c r="E137" s="20"/>
      <c r="F137" s="20"/>
    </row>
    <row r="138" spans="1:6" ht="13.2">
      <c r="A138" s="19"/>
      <c r="C138" s="20"/>
      <c r="D138" s="20"/>
      <c r="E138" s="20"/>
      <c r="F138" s="20"/>
    </row>
    <row r="139" spans="1:6" ht="13.2">
      <c r="A139" s="19"/>
      <c r="C139" s="20"/>
      <c r="D139" s="20"/>
      <c r="E139" s="20"/>
      <c r="F139" s="20"/>
    </row>
    <row r="140" spans="1:6" ht="13.2">
      <c r="A140" s="19"/>
      <c r="C140" s="20"/>
      <c r="D140" s="20"/>
      <c r="E140" s="20"/>
      <c r="F140" s="20"/>
    </row>
    <row r="141" spans="1:6" ht="13.2">
      <c r="A141" s="19"/>
      <c r="C141" s="20"/>
      <c r="D141" s="20"/>
      <c r="E141" s="20"/>
      <c r="F141" s="20"/>
    </row>
    <row r="142" spans="1:6" ht="13.2">
      <c r="A142" s="19"/>
      <c r="C142" s="18"/>
      <c r="D142" s="18"/>
      <c r="E142" s="18"/>
      <c r="F142" s="18"/>
    </row>
    <row r="143" spans="1:6" ht="13.2">
      <c r="A143" s="17"/>
      <c r="C143" s="17"/>
      <c r="D143" s="17"/>
      <c r="E143" s="17"/>
      <c r="F143" s="17"/>
    </row>
    <row r="144" spans="1:6" ht="13.2">
      <c r="A144" s="19"/>
      <c r="C144" s="20"/>
      <c r="D144" s="20"/>
      <c r="E144" s="20"/>
      <c r="F144" s="20"/>
    </row>
    <row r="145" spans="1:6" ht="13.2">
      <c r="A145" s="17"/>
      <c r="C145" s="17"/>
      <c r="D145" s="17"/>
      <c r="E145" s="17"/>
      <c r="F145" s="17"/>
    </row>
    <row r="146" spans="1:6" ht="13.2">
      <c r="A146" s="29"/>
      <c r="C146" s="30"/>
      <c r="D146" s="30"/>
      <c r="E146" s="30"/>
      <c r="F146" s="30"/>
    </row>
    <row r="147" spans="1:6" ht="13.2">
      <c r="A147" s="17"/>
      <c r="C147" s="17"/>
      <c r="D147" s="17"/>
      <c r="E147" s="17"/>
      <c r="F147" s="17"/>
    </row>
    <row r="148" spans="1:6" ht="13.2">
      <c r="A148" s="19"/>
      <c r="C148" s="20"/>
      <c r="D148" s="20"/>
      <c r="E148" s="20"/>
      <c r="F148" s="20"/>
    </row>
    <row r="149" spans="1:6" ht="13.2">
      <c r="A149" s="19"/>
      <c r="C149" s="20"/>
      <c r="D149" s="20"/>
      <c r="E149" s="20"/>
      <c r="F149" s="20"/>
    </row>
    <row r="150" spans="1:6" ht="13.2">
      <c r="A150" s="19"/>
      <c r="C150" s="20"/>
      <c r="D150" s="20"/>
      <c r="E150" s="20"/>
      <c r="F150" s="20"/>
    </row>
    <row r="151" spans="1:6" ht="13.2">
      <c r="A151" s="19"/>
      <c r="C151" s="20"/>
      <c r="D151" s="20"/>
      <c r="E151" s="20"/>
      <c r="F151" s="20"/>
    </row>
    <row r="152" spans="1:6" ht="13.2">
      <c r="A152" s="19"/>
      <c r="C152" s="20"/>
      <c r="D152" s="20"/>
      <c r="E152" s="20"/>
      <c r="F152" s="20"/>
    </row>
    <row r="153" spans="1:6" ht="13.2">
      <c r="A153" s="19"/>
      <c r="C153" s="20"/>
      <c r="D153" s="20"/>
      <c r="E153" s="20"/>
      <c r="F153" s="20"/>
    </row>
    <row r="154" spans="1:6" ht="13.2">
      <c r="A154" s="19"/>
      <c r="C154" s="20"/>
      <c r="D154" s="20"/>
      <c r="E154" s="20"/>
      <c r="F154" s="20"/>
    </row>
    <row r="155" spans="1:6" ht="13.2">
      <c r="A155" s="19"/>
      <c r="C155" s="20"/>
      <c r="D155" s="20"/>
      <c r="E155" s="20"/>
      <c r="F155" s="20"/>
    </row>
    <row r="156" spans="1:6" ht="13.2">
      <c r="A156" s="19"/>
      <c r="C156" s="20"/>
      <c r="D156" s="20"/>
      <c r="E156" s="20"/>
      <c r="F156" s="20"/>
    </row>
    <row r="157" spans="1:6" ht="13.2">
      <c r="A157" s="19"/>
      <c r="C157" s="20"/>
      <c r="D157" s="20"/>
      <c r="E157" s="20"/>
      <c r="F157" s="20"/>
    </row>
    <row r="158" spans="1:6" ht="13.2">
      <c r="A158" s="19"/>
      <c r="C158" s="20"/>
      <c r="D158" s="20"/>
      <c r="E158" s="20"/>
      <c r="F158" s="20"/>
    </row>
    <row r="159" spans="1:6" ht="13.2">
      <c r="A159" s="19"/>
      <c r="C159" s="20"/>
      <c r="D159" s="20"/>
      <c r="E159" s="20"/>
      <c r="F159" s="20"/>
    </row>
    <row r="160" spans="1:6" ht="13.2">
      <c r="A160" s="19"/>
      <c r="C160" s="20"/>
      <c r="D160" s="20"/>
      <c r="E160" s="20"/>
      <c r="F160" s="20"/>
    </row>
    <row r="161" spans="1:6" ht="13.2">
      <c r="A161" s="19"/>
      <c r="C161" s="20"/>
      <c r="D161" s="20"/>
      <c r="E161" s="20"/>
      <c r="F161" s="20"/>
    </row>
    <row r="162" spans="1:6" ht="13.2">
      <c r="A162" s="19"/>
      <c r="C162" s="20"/>
      <c r="D162" s="20"/>
      <c r="E162" s="20"/>
      <c r="F162" s="20"/>
    </row>
    <row r="163" spans="1:6" ht="13.2">
      <c r="A163" s="19"/>
      <c r="C163" s="20"/>
      <c r="D163" s="20"/>
      <c r="E163" s="20"/>
      <c r="F163" s="20"/>
    </row>
    <row r="164" spans="1:6" ht="13.2">
      <c r="A164" s="19"/>
      <c r="C164" s="20"/>
      <c r="D164" s="20"/>
      <c r="E164" s="20"/>
      <c r="F164" s="20"/>
    </row>
    <row r="165" spans="1:6" ht="13.2">
      <c r="A165" s="19"/>
      <c r="C165" s="20"/>
      <c r="D165" s="20"/>
      <c r="E165" s="20"/>
      <c r="F165" s="20"/>
    </row>
    <row r="166" spans="1:6" ht="13.2">
      <c r="A166" s="19"/>
      <c r="C166" s="20"/>
      <c r="D166" s="20"/>
      <c r="E166" s="20"/>
      <c r="F166" s="20"/>
    </row>
    <row r="167" spans="1:6" ht="13.2">
      <c r="A167" s="19"/>
      <c r="C167" s="20"/>
      <c r="D167" s="20"/>
      <c r="E167" s="20"/>
      <c r="F167" s="20"/>
    </row>
    <row r="168" spans="1:6" ht="13.2">
      <c r="A168" s="19"/>
      <c r="C168" s="20"/>
      <c r="D168" s="20"/>
      <c r="E168" s="20"/>
      <c r="F168" s="20"/>
    </row>
    <row r="169" spans="1:6" ht="13.2">
      <c r="A169" s="19"/>
      <c r="C169" s="20"/>
      <c r="D169" s="20"/>
      <c r="E169" s="20"/>
      <c r="F169" s="20"/>
    </row>
    <row r="170" spans="1:6" ht="13.2">
      <c r="A170" s="19"/>
      <c r="C170" s="20"/>
      <c r="D170" s="20"/>
      <c r="E170" s="20"/>
      <c r="F170" s="20"/>
    </row>
    <row r="171" spans="1:6" ht="13.2">
      <c r="A171" s="19"/>
      <c r="C171" s="20"/>
      <c r="D171" s="20"/>
      <c r="E171" s="20"/>
      <c r="F171" s="20"/>
    </row>
    <row r="172" spans="1:6" ht="13.2">
      <c r="A172" s="19"/>
      <c r="C172" s="20"/>
      <c r="D172" s="20"/>
      <c r="E172" s="20"/>
      <c r="F172" s="20"/>
    </row>
    <row r="173" spans="1:6" ht="13.2">
      <c r="A173" s="19"/>
      <c r="C173" s="20"/>
      <c r="D173" s="20"/>
      <c r="E173" s="20"/>
      <c r="F173" s="20"/>
    </row>
    <row r="174" spans="1:6" ht="13.2">
      <c r="A174" s="19"/>
      <c r="C174" s="20"/>
      <c r="D174" s="20"/>
      <c r="E174" s="20"/>
      <c r="F174" s="20"/>
    </row>
    <row r="175" spans="1:6" ht="13.2">
      <c r="A175" s="19"/>
      <c r="C175" s="20"/>
      <c r="D175" s="20"/>
      <c r="E175" s="20"/>
      <c r="F175" s="20"/>
    </row>
    <row r="176" spans="1:6" ht="13.2">
      <c r="A176" s="19"/>
      <c r="C176" s="20"/>
      <c r="D176" s="20"/>
      <c r="E176" s="20"/>
      <c r="F176" s="20"/>
    </row>
    <row r="177" spans="1:6" ht="13.2">
      <c r="A177" s="19"/>
      <c r="C177" s="20"/>
      <c r="D177" s="20"/>
      <c r="E177" s="20"/>
      <c r="F177" s="20"/>
    </row>
    <row r="178" spans="1:6" ht="13.2">
      <c r="A178" s="19"/>
      <c r="C178" s="20"/>
      <c r="D178" s="20"/>
      <c r="E178" s="20"/>
      <c r="F178" s="20"/>
    </row>
    <row r="179" spans="1:6" ht="13.2">
      <c r="A179" s="19"/>
      <c r="C179" s="20"/>
      <c r="D179" s="20"/>
      <c r="E179" s="20"/>
      <c r="F179" s="20"/>
    </row>
    <row r="180" spans="1:6" ht="13.2">
      <c r="A180" s="19"/>
      <c r="C180" s="20"/>
      <c r="D180" s="20"/>
      <c r="E180" s="20"/>
      <c r="F180" s="20"/>
    </row>
    <row r="181" spans="1:6" ht="13.2">
      <c r="A181" s="17"/>
      <c r="C181" s="17"/>
      <c r="D181" s="17"/>
      <c r="E181" s="17"/>
      <c r="F181" s="17"/>
    </row>
    <row r="182" spans="1:6" ht="13.2">
      <c r="A182" s="19"/>
      <c r="C182" s="20"/>
      <c r="D182" s="20"/>
      <c r="E182" s="20"/>
      <c r="F182" s="20"/>
    </row>
    <row r="183" spans="1:6" ht="13.2">
      <c r="A183" s="19"/>
      <c r="C183" s="20"/>
      <c r="D183" s="20"/>
      <c r="E183" s="20"/>
      <c r="F183" s="20"/>
    </row>
    <row r="184" spans="1:6" ht="13.2">
      <c r="A184" s="17"/>
      <c r="C184" s="17"/>
      <c r="D184" s="17"/>
      <c r="E184" s="17"/>
      <c r="F184" s="17"/>
    </row>
    <row r="185" spans="1:6" ht="13.2">
      <c r="A185" s="19"/>
      <c r="C185" s="20"/>
      <c r="D185" s="20"/>
      <c r="E185" s="20"/>
      <c r="F185" s="20"/>
    </row>
    <row r="186" spans="1:6" ht="13.2">
      <c r="A186" s="19"/>
      <c r="C186" s="18"/>
      <c r="D186" s="18"/>
      <c r="E186" s="18"/>
      <c r="F186" s="18"/>
    </row>
    <row r="187" spans="1:6" ht="13.2">
      <c r="A187" s="17"/>
      <c r="C187" s="17"/>
      <c r="D187" s="17"/>
      <c r="E187" s="17"/>
      <c r="F187" s="17"/>
    </row>
    <row r="188" spans="1:6" ht="13.2">
      <c r="A188" s="19"/>
      <c r="C188" s="20"/>
      <c r="D188" s="20"/>
      <c r="E188" s="20"/>
      <c r="F188" s="20"/>
    </row>
    <row r="189" spans="1:6" ht="13.2">
      <c r="A189" s="17"/>
      <c r="C189" s="17"/>
      <c r="D189" s="17"/>
      <c r="E189" s="17"/>
      <c r="F189" s="17"/>
    </row>
    <row r="190" spans="1:6" ht="13.2">
      <c r="A190" s="19"/>
      <c r="C190" s="20"/>
      <c r="D190" s="20"/>
      <c r="E190" s="20"/>
      <c r="F190" s="20"/>
    </row>
    <row r="191" spans="1:6" ht="13.2">
      <c r="A191" s="19"/>
      <c r="C191" s="20"/>
      <c r="D191" s="20"/>
      <c r="E191" s="20"/>
      <c r="F191" s="20"/>
    </row>
    <row r="192" spans="1:6" ht="13.2">
      <c r="A192" s="17"/>
      <c r="C192" s="17"/>
      <c r="D192" s="17"/>
      <c r="E192" s="17"/>
      <c r="F192" s="1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60"/>
  <sheetViews>
    <sheetView workbookViewId="0"/>
  </sheetViews>
  <sheetFormatPr defaultColWidth="12.5546875" defaultRowHeight="15" customHeight="1"/>
  <cols>
    <col min="1" max="25" width="11.109375" customWidth="1"/>
  </cols>
  <sheetData>
    <row r="1" spans="1:8">
      <c r="A1" s="549" t="s">
        <v>344</v>
      </c>
      <c r="B1" s="551"/>
      <c r="C1" s="2"/>
      <c r="D1" s="2"/>
      <c r="E1" s="2"/>
      <c r="F1" s="2"/>
      <c r="G1" s="2"/>
      <c r="H1" s="2"/>
    </row>
    <row r="2" spans="1:8">
      <c r="A2" s="1"/>
      <c r="B2" s="2"/>
      <c r="C2" s="2"/>
      <c r="D2" s="2"/>
      <c r="E2" s="2"/>
      <c r="F2" s="2"/>
      <c r="G2" s="2"/>
      <c r="H2" s="2"/>
    </row>
    <row r="3" spans="1:8">
      <c r="A3" s="13"/>
      <c r="B3" s="14" t="s">
        <v>32</v>
      </c>
      <c r="C3" s="15" t="s">
        <v>71</v>
      </c>
      <c r="D3" s="15" t="s">
        <v>72</v>
      </c>
      <c r="E3" s="15" t="s">
        <v>73</v>
      </c>
      <c r="F3" s="15" t="s">
        <v>74</v>
      </c>
      <c r="G3" s="15" t="s">
        <v>75</v>
      </c>
      <c r="H3" s="15" t="s">
        <v>76</v>
      </c>
    </row>
    <row r="4" spans="1:8">
      <c r="A4" s="16"/>
      <c r="B4" s="17"/>
      <c r="C4" s="18" t="s">
        <v>80</v>
      </c>
      <c r="D4" s="18" t="s">
        <v>80</v>
      </c>
      <c r="E4" s="18" t="s">
        <v>80</v>
      </c>
      <c r="F4" s="18" t="s">
        <v>80</v>
      </c>
      <c r="G4" s="18" t="s">
        <v>80</v>
      </c>
      <c r="H4" s="18" t="s">
        <v>80</v>
      </c>
    </row>
    <row r="5" spans="1:8">
      <c r="A5" s="23"/>
      <c r="B5" s="24" t="s">
        <v>345</v>
      </c>
      <c r="C5" s="25"/>
      <c r="D5" s="25"/>
      <c r="E5" s="25"/>
      <c r="F5" s="25"/>
      <c r="G5" s="25"/>
      <c r="H5" s="25"/>
    </row>
    <row r="6" spans="1:8">
      <c r="A6" s="16"/>
      <c r="B6" s="17"/>
      <c r="C6" s="17"/>
      <c r="D6" s="17"/>
      <c r="E6" s="17"/>
      <c r="F6" s="17"/>
      <c r="G6" s="17"/>
      <c r="H6" s="17"/>
    </row>
    <row r="7" spans="1:8">
      <c r="A7" s="16"/>
      <c r="B7" s="19" t="s">
        <v>346</v>
      </c>
      <c r="C7" s="21">
        <v>1.61</v>
      </c>
      <c r="D7" s="21">
        <v>1.6300000000000001</v>
      </c>
      <c r="E7" s="21">
        <v>1.49</v>
      </c>
      <c r="F7" s="21">
        <v>1.99</v>
      </c>
      <c r="G7" s="21">
        <v>1.48</v>
      </c>
      <c r="H7" s="21">
        <v>1.1800000000000002</v>
      </c>
    </row>
    <row r="8" spans="1:8">
      <c r="A8" s="16"/>
      <c r="B8" s="19" t="s">
        <v>347</v>
      </c>
      <c r="C8" s="21">
        <v>2.3099999999999996</v>
      </c>
      <c r="D8" s="21">
        <v>2.4499999999999997</v>
      </c>
      <c r="E8" s="21">
        <v>2.0699999999999998</v>
      </c>
      <c r="F8" s="21">
        <v>2.94</v>
      </c>
      <c r="G8" s="21">
        <v>1.97</v>
      </c>
      <c r="H8" s="21">
        <v>1.46</v>
      </c>
    </row>
    <row r="9" spans="1:8">
      <c r="A9" s="16"/>
      <c r="B9" s="19" t="s">
        <v>348</v>
      </c>
      <c r="C9" s="21">
        <v>0.5</v>
      </c>
      <c r="D9" s="21">
        <v>0.44</v>
      </c>
      <c r="E9" s="21">
        <v>0.53</v>
      </c>
      <c r="F9" s="21">
        <v>0.34</v>
      </c>
      <c r="G9" s="21">
        <v>0.44</v>
      </c>
      <c r="H9" s="21">
        <v>0.56000000000000005</v>
      </c>
    </row>
    <row r="10" spans="1:8">
      <c r="A10" s="16"/>
      <c r="B10" s="19" t="s">
        <v>349</v>
      </c>
      <c r="C10" s="21">
        <v>0.5</v>
      </c>
      <c r="D10" s="21">
        <v>0.56000000000000005</v>
      </c>
      <c r="E10" s="21">
        <v>0.47000000000000003</v>
      </c>
      <c r="F10" s="21">
        <v>0.66000000000000014</v>
      </c>
      <c r="G10" s="21">
        <v>0.56000000000000005</v>
      </c>
      <c r="H10" s="21">
        <v>0.44</v>
      </c>
    </row>
    <row r="11" spans="1:8">
      <c r="A11" s="16"/>
      <c r="B11" s="19" t="s">
        <v>350</v>
      </c>
      <c r="C11" s="21">
        <v>0.2</v>
      </c>
      <c r="D11" s="21">
        <v>0.15000000000000002</v>
      </c>
      <c r="E11" s="21">
        <v>0.2</v>
      </c>
      <c r="F11" s="21">
        <v>0.17</v>
      </c>
      <c r="G11" s="21">
        <v>0.17</v>
      </c>
      <c r="H11" s="21">
        <v>0.18</v>
      </c>
    </row>
    <row r="12" spans="1:8">
      <c r="A12" s="16"/>
      <c r="B12" s="19" t="s">
        <v>351</v>
      </c>
      <c r="C12" s="18" t="s">
        <v>104</v>
      </c>
      <c r="D12" s="18" t="s">
        <v>104</v>
      </c>
      <c r="E12" s="18" t="s">
        <v>104</v>
      </c>
      <c r="F12" s="18" t="s">
        <v>104</v>
      </c>
      <c r="G12" s="18" t="s">
        <v>104</v>
      </c>
      <c r="H12" s="18" t="s">
        <v>104</v>
      </c>
    </row>
    <row r="13" spans="1:8">
      <c r="A13" s="16"/>
      <c r="B13" s="19" t="s">
        <v>352</v>
      </c>
      <c r="C13" s="21">
        <v>4.09</v>
      </c>
      <c r="D13" s="21">
        <v>4.8199999999999994</v>
      </c>
      <c r="E13" s="21">
        <v>6.07</v>
      </c>
      <c r="F13" s="21">
        <v>7.5</v>
      </c>
      <c r="G13" s="21">
        <v>10.32</v>
      </c>
      <c r="H13" s="21">
        <v>11.2</v>
      </c>
    </row>
    <row r="14" spans="1:8">
      <c r="A14" s="16"/>
      <c r="B14" s="19" t="s">
        <v>353</v>
      </c>
      <c r="C14" s="21">
        <v>4.49</v>
      </c>
      <c r="D14" s="21">
        <v>4.4000000000000004</v>
      </c>
      <c r="E14" s="21">
        <v>5.73</v>
      </c>
      <c r="F14" s="21">
        <v>8.629999999999999</v>
      </c>
      <c r="G14" s="21">
        <v>6.8</v>
      </c>
      <c r="H14" s="21">
        <v>4.91</v>
      </c>
    </row>
    <row r="15" spans="1:8">
      <c r="A15" s="16"/>
      <c r="B15" s="19" t="s">
        <v>354</v>
      </c>
      <c r="C15" s="21">
        <v>35.17</v>
      </c>
      <c r="D15" s="21">
        <v>28.68</v>
      </c>
      <c r="E15" s="21">
        <v>25.19</v>
      </c>
      <c r="F15" s="21">
        <v>32.449999999999996</v>
      </c>
      <c r="G15" s="21">
        <v>27.67</v>
      </c>
      <c r="H15" s="21">
        <v>25.150000000000002</v>
      </c>
    </row>
    <row r="16" spans="1:8">
      <c r="A16" s="16"/>
      <c r="B16" s="19" t="s">
        <v>355</v>
      </c>
      <c r="C16" s="21">
        <v>7.2700000000000005</v>
      </c>
      <c r="D16" s="21">
        <v>5.78</v>
      </c>
      <c r="E16" s="21">
        <v>5.45</v>
      </c>
      <c r="F16" s="21">
        <v>5.57</v>
      </c>
      <c r="G16" s="21">
        <v>6.56</v>
      </c>
      <c r="H16" s="21">
        <v>5.98</v>
      </c>
    </row>
    <row r="17" spans="1:8">
      <c r="A17" s="16"/>
      <c r="B17" s="19" t="s">
        <v>357</v>
      </c>
      <c r="C17" s="21">
        <v>3.96</v>
      </c>
      <c r="D17" s="21">
        <v>6.7</v>
      </c>
      <c r="E17" s="21">
        <v>8.48</v>
      </c>
      <c r="F17" s="21">
        <v>5.33</v>
      </c>
      <c r="G17" s="21">
        <v>3.66</v>
      </c>
      <c r="H17" s="21">
        <v>3.72</v>
      </c>
    </row>
    <row r="18" spans="1:8">
      <c r="A18" s="16"/>
      <c r="B18" s="19" t="s">
        <v>358</v>
      </c>
      <c r="C18" s="21">
        <v>2.56</v>
      </c>
      <c r="D18" s="21">
        <v>1.6600000000000001</v>
      </c>
      <c r="E18" s="21">
        <v>1.37</v>
      </c>
      <c r="F18" s="21">
        <v>1.81</v>
      </c>
      <c r="G18" s="21">
        <v>1.82</v>
      </c>
      <c r="H18" s="21">
        <v>1.5</v>
      </c>
    </row>
    <row r="19" spans="1:8">
      <c r="A19" s="16"/>
      <c r="B19" s="19" t="s">
        <v>359</v>
      </c>
      <c r="C19" s="21">
        <v>24.43</v>
      </c>
      <c r="D19" s="21">
        <v>20.75</v>
      </c>
      <c r="E19" s="21">
        <v>16.479999999999997</v>
      </c>
      <c r="F19" s="21">
        <v>13.34</v>
      </c>
      <c r="G19" s="21">
        <v>9.69</v>
      </c>
      <c r="H19" s="21">
        <v>8.93</v>
      </c>
    </row>
    <row r="20" spans="1:8">
      <c r="A20" s="16"/>
      <c r="B20" s="19" t="s">
        <v>360</v>
      </c>
      <c r="C20" s="21">
        <v>0.35000000000000003</v>
      </c>
      <c r="D20" s="21">
        <v>0.28000000000000003</v>
      </c>
      <c r="E20" s="21">
        <v>0.21000000000000002</v>
      </c>
      <c r="F20" s="21">
        <v>0.16</v>
      </c>
      <c r="G20" s="21">
        <v>0.11</v>
      </c>
      <c r="H20" s="21">
        <v>0.1</v>
      </c>
    </row>
    <row r="21" spans="1:8">
      <c r="A21" s="16"/>
      <c r="B21" s="19" t="s">
        <v>361</v>
      </c>
      <c r="C21" s="21">
        <v>5886637</v>
      </c>
      <c r="D21" s="21">
        <v>4714792</v>
      </c>
      <c r="E21" s="21">
        <v>4399459</v>
      </c>
      <c r="F21" s="21">
        <v>2565050</v>
      </c>
      <c r="G21" s="21">
        <v>2849112</v>
      </c>
      <c r="H21" s="21">
        <v>3938981</v>
      </c>
    </row>
    <row r="22" spans="1:8">
      <c r="A22" s="16"/>
      <c r="B22" s="19" t="s">
        <v>362</v>
      </c>
      <c r="C22" s="21">
        <v>2.15</v>
      </c>
      <c r="D22" s="21">
        <v>2.38</v>
      </c>
      <c r="E22" s="21">
        <v>3.03</v>
      </c>
      <c r="F22" s="21">
        <v>3.1</v>
      </c>
      <c r="G22" s="21">
        <v>4.41</v>
      </c>
      <c r="H22" s="21">
        <v>6.2</v>
      </c>
    </row>
    <row r="23" spans="1:8">
      <c r="A23" s="16"/>
      <c r="B23" s="19" t="s">
        <v>363</v>
      </c>
      <c r="C23" s="21">
        <v>4.17</v>
      </c>
      <c r="D23" s="21">
        <v>3.34</v>
      </c>
      <c r="E23" s="21">
        <v>3.05</v>
      </c>
      <c r="F23" s="21">
        <v>3.3699999999999997</v>
      </c>
      <c r="G23" s="21">
        <v>4.1599999999999993</v>
      </c>
      <c r="H23" s="21">
        <v>6.68</v>
      </c>
    </row>
    <row r="24" spans="1:8">
      <c r="A24" s="16"/>
      <c r="B24" s="17"/>
      <c r="C24" s="17"/>
      <c r="D24" s="17"/>
      <c r="E24" s="17"/>
      <c r="F24" s="17"/>
      <c r="G24" s="17"/>
      <c r="H24" s="17"/>
    </row>
    <row r="25" spans="1:8">
      <c r="A25" s="23"/>
      <c r="B25" s="24" t="s">
        <v>364</v>
      </c>
      <c r="C25" s="25"/>
      <c r="D25" s="25"/>
      <c r="E25" s="25"/>
      <c r="F25" s="25"/>
      <c r="G25" s="25"/>
      <c r="H25" s="25"/>
    </row>
    <row r="26" spans="1:8">
      <c r="A26" s="16"/>
      <c r="B26" s="17"/>
      <c r="C26" s="17"/>
      <c r="D26" s="17"/>
      <c r="E26" s="17"/>
      <c r="F26" s="17"/>
      <c r="G26" s="17"/>
      <c r="H26" s="17"/>
    </row>
    <row r="27" spans="1:8">
      <c r="A27" s="16"/>
      <c r="B27" s="19" t="s">
        <v>365</v>
      </c>
      <c r="C27" s="21">
        <v>1.1900000000000002</v>
      </c>
      <c r="D27" s="21">
        <v>1.27</v>
      </c>
      <c r="E27" s="21">
        <v>1.29</v>
      </c>
      <c r="F27" s="21">
        <v>1.1800000000000002</v>
      </c>
      <c r="G27" s="21">
        <v>1.42</v>
      </c>
      <c r="H27" s="21">
        <v>1.42</v>
      </c>
    </row>
    <row r="28" spans="1:8">
      <c r="A28" s="16"/>
      <c r="B28" s="19" t="s">
        <v>366</v>
      </c>
      <c r="C28" s="21">
        <v>1.47</v>
      </c>
      <c r="D28" s="21">
        <v>1.6</v>
      </c>
      <c r="E28" s="21">
        <v>1.51</v>
      </c>
      <c r="F28" s="21">
        <v>1.46</v>
      </c>
      <c r="G28" s="21">
        <v>1.94</v>
      </c>
      <c r="H28" s="21">
        <v>2</v>
      </c>
    </row>
    <row r="29" spans="1:8">
      <c r="A29" s="16"/>
      <c r="B29" s="19" t="s">
        <v>367</v>
      </c>
      <c r="C29" s="21">
        <v>17.41</v>
      </c>
      <c r="D29" s="21">
        <v>16.690000000000001</v>
      </c>
      <c r="E29" s="21">
        <v>13.04</v>
      </c>
      <c r="F29" s="21">
        <v>22.23</v>
      </c>
      <c r="G29" s="21">
        <v>23.88</v>
      </c>
      <c r="H29" s="21">
        <v>21.71</v>
      </c>
    </row>
    <row r="30" spans="1:8">
      <c r="A30" s="16"/>
      <c r="B30" s="19" t="s">
        <v>368</v>
      </c>
      <c r="C30" s="21">
        <v>72.34</v>
      </c>
      <c r="D30" s="21">
        <v>72.940000000000012</v>
      </c>
      <c r="E30" s="21">
        <v>62.08</v>
      </c>
      <c r="F30" s="21">
        <v>74.460000000000008</v>
      </c>
      <c r="G30" s="21">
        <v>43.01</v>
      </c>
      <c r="H30" s="21">
        <v>33.290000000000006</v>
      </c>
    </row>
    <row r="31" spans="1:8">
      <c r="A31" s="16"/>
      <c r="B31" s="19" t="s">
        <v>369</v>
      </c>
      <c r="C31" s="21">
        <v>156.96</v>
      </c>
      <c r="D31" s="21">
        <v>149.66</v>
      </c>
      <c r="E31" s="21">
        <v>130.88000000000002</v>
      </c>
      <c r="F31" s="21">
        <v>160.72999999999999</v>
      </c>
      <c r="G31" s="21">
        <v>89.9</v>
      </c>
      <c r="H31" s="21">
        <v>64.849999999999994</v>
      </c>
    </row>
    <row r="32" spans="1:8">
      <c r="A32" s="16"/>
      <c r="B32" s="19" t="s">
        <v>370</v>
      </c>
      <c r="C32" s="21">
        <v>21.959999999999997</v>
      </c>
      <c r="D32" s="21">
        <v>34.479999999999997</v>
      </c>
      <c r="E32" s="21">
        <v>36.56</v>
      </c>
      <c r="F32" s="21">
        <v>47.1</v>
      </c>
      <c r="G32" s="21">
        <v>80.38</v>
      </c>
      <c r="H32" s="21">
        <v>91.73</v>
      </c>
    </row>
    <row r="33" spans="1:8">
      <c r="A33" s="16"/>
      <c r="B33" s="19" t="s">
        <v>371</v>
      </c>
      <c r="C33" s="21">
        <v>41.690000000000005</v>
      </c>
      <c r="D33" s="21">
        <v>59.03</v>
      </c>
      <c r="E33" s="21">
        <v>69.410000000000011</v>
      </c>
      <c r="F33" s="21">
        <v>49.67</v>
      </c>
      <c r="G33" s="21">
        <v>44.65</v>
      </c>
      <c r="H33" s="21">
        <v>54.120000000000005</v>
      </c>
    </row>
    <row r="34" spans="1:8">
      <c r="A34" s="16"/>
      <c r="B34" s="19" t="s">
        <v>372</v>
      </c>
      <c r="C34" s="21">
        <v>137.22999999999999</v>
      </c>
      <c r="D34" s="21">
        <v>125.11</v>
      </c>
      <c r="E34" s="21">
        <v>98.03</v>
      </c>
      <c r="F34" s="21">
        <v>158.16</v>
      </c>
      <c r="G34" s="21">
        <v>125.63</v>
      </c>
      <c r="H34" s="21">
        <v>102.46000000000001</v>
      </c>
    </row>
    <row r="35" spans="1:8">
      <c r="A35" s="16"/>
      <c r="B35" s="17"/>
      <c r="C35" s="17"/>
      <c r="D35" s="17"/>
      <c r="E35" s="17"/>
      <c r="F35" s="17"/>
      <c r="G35" s="17"/>
      <c r="H35" s="17"/>
    </row>
    <row r="36" spans="1:8">
      <c r="A36" s="23"/>
      <c r="B36" s="24" t="s">
        <v>373</v>
      </c>
      <c r="C36" s="25"/>
      <c r="D36" s="25"/>
      <c r="E36" s="25"/>
      <c r="F36" s="25"/>
      <c r="G36" s="25"/>
      <c r="H36" s="25"/>
    </row>
    <row r="37" spans="1:8">
      <c r="A37" s="16"/>
      <c r="B37" s="17"/>
      <c r="C37" s="17"/>
      <c r="D37" s="17"/>
      <c r="E37" s="17"/>
      <c r="F37" s="17"/>
      <c r="G37" s="17"/>
      <c r="H37" s="17"/>
    </row>
    <row r="38" spans="1:8">
      <c r="A38" s="16"/>
      <c r="B38" s="19" t="s">
        <v>374</v>
      </c>
      <c r="C38" s="20">
        <v>1513067</v>
      </c>
      <c r="D38" s="20">
        <v>1608701</v>
      </c>
      <c r="E38" s="20">
        <v>1473280</v>
      </c>
      <c r="F38" s="20">
        <v>889518</v>
      </c>
      <c r="G38" s="20">
        <v>701754</v>
      </c>
      <c r="H38" s="20">
        <v>595594</v>
      </c>
    </row>
    <row r="39" spans="1:8">
      <c r="A39" s="16"/>
      <c r="B39" s="19" t="s">
        <v>375</v>
      </c>
      <c r="C39" s="21">
        <v>10.119999999999999</v>
      </c>
      <c r="D39" s="21">
        <v>11.12</v>
      </c>
      <c r="E39" s="21">
        <v>11.639999999999999</v>
      </c>
      <c r="F39" s="21">
        <v>9.6199999999999992</v>
      </c>
      <c r="G39" s="21">
        <v>6.64</v>
      </c>
      <c r="H39" s="21">
        <v>5.59</v>
      </c>
    </row>
    <row r="40" spans="1:8">
      <c r="A40" s="16"/>
      <c r="B40" s="19" t="s">
        <v>376</v>
      </c>
      <c r="C40" s="21">
        <v>9.2299999999999986</v>
      </c>
      <c r="D40" s="21">
        <v>11.54</v>
      </c>
      <c r="E40" s="21">
        <v>9.89</v>
      </c>
      <c r="F40" s="21">
        <v>7.54</v>
      </c>
      <c r="G40" s="21">
        <v>4.5199999999999996</v>
      </c>
      <c r="H40" s="21">
        <v>6.75</v>
      </c>
    </row>
    <row r="41" spans="1:8">
      <c r="A41" s="16"/>
      <c r="B41" s="19" t="s">
        <v>377</v>
      </c>
      <c r="C41" s="21">
        <v>11.97</v>
      </c>
      <c r="D41" s="21">
        <v>16.45</v>
      </c>
      <c r="E41" s="21">
        <v>14.89</v>
      </c>
      <c r="F41" s="21">
        <v>10.38</v>
      </c>
      <c r="G41" s="21">
        <v>6.3199999999999994</v>
      </c>
      <c r="H41" s="21">
        <v>10.5</v>
      </c>
    </row>
    <row r="42" spans="1:8">
      <c r="A42" s="16"/>
      <c r="B42" s="19" t="s">
        <v>378</v>
      </c>
      <c r="C42" s="21">
        <v>7.4</v>
      </c>
      <c r="D42" s="21">
        <v>8.68</v>
      </c>
      <c r="E42" s="21">
        <v>7.02</v>
      </c>
      <c r="F42" s="21">
        <v>5.92</v>
      </c>
      <c r="G42" s="21">
        <v>2.92</v>
      </c>
      <c r="H42" s="21">
        <v>4.5599999999999996</v>
      </c>
    </row>
    <row r="43" spans="1:8">
      <c r="A43" s="16"/>
      <c r="B43" s="19" t="s">
        <v>379</v>
      </c>
      <c r="C43" s="21">
        <v>22.95</v>
      </c>
      <c r="D43" s="21">
        <v>34.409999999999997</v>
      </c>
      <c r="E43" s="21">
        <v>34.700000000000003</v>
      </c>
      <c r="F43" s="21">
        <v>31.52</v>
      </c>
      <c r="G43" s="21">
        <v>2.98</v>
      </c>
      <c r="H43" s="21">
        <v>32.6</v>
      </c>
    </row>
    <row r="44" spans="1:8">
      <c r="A44" s="16"/>
      <c r="B44" s="19" t="s">
        <v>380</v>
      </c>
      <c r="C44" s="21">
        <v>60.760000000000005</v>
      </c>
      <c r="D44" s="21">
        <v>61.86</v>
      </c>
      <c r="E44" s="21">
        <v>57.790000000000006</v>
      </c>
      <c r="F44" s="21">
        <v>55.730000000000004</v>
      </c>
      <c r="G44" s="21">
        <v>6.38</v>
      </c>
      <c r="H44" s="21">
        <v>43.14</v>
      </c>
    </row>
    <row r="45" spans="1:8">
      <c r="A45" s="16"/>
      <c r="B45" s="17"/>
      <c r="C45" s="17"/>
      <c r="D45" s="17"/>
      <c r="E45" s="17"/>
      <c r="F45" s="17"/>
      <c r="G45" s="17"/>
      <c r="H45" s="17"/>
    </row>
    <row r="46" spans="1:8">
      <c r="A46" s="23"/>
      <c r="B46" s="24" t="s">
        <v>381</v>
      </c>
      <c r="C46" s="25"/>
      <c r="D46" s="25"/>
      <c r="E46" s="25"/>
      <c r="F46" s="25"/>
      <c r="G46" s="25"/>
      <c r="H46" s="25"/>
    </row>
    <row r="47" spans="1:8">
      <c r="A47" s="16"/>
      <c r="B47" s="17"/>
      <c r="C47" s="17"/>
      <c r="D47" s="17"/>
      <c r="E47" s="17"/>
      <c r="F47" s="17"/>
      <c r="G47" s="17"/>
      <c r="H47" s="17"/>
    </row>
    <row r="48" spans="1:8">
      <c r="A48" s="16"/>
      <c r="B48" s="19" t="s">
        <v>382</v>
      </c>
      <c r="C48" s="22">
        <v>48</v>
      </c>
      <c r="D48" s="22">
        <v>42</v>
      </c>
      <c r="E48" s="22">
        <v>40</v>
      </c>
      <c r="F48" s="22">
        <v>38</v>
      </c>
      <c r="G48" s="22">
        <v>36</v>
      </c>
      <c r="H48" s="22">
        <v>25</v>
      </c>
    </row>
    <row r="49" spans="1:8">
      <c r="A49" s="16"/>
      <c r="B49" s="19" t="s">
        <v>383</v>
      </c>
      <c r="C49" s="22">
        <v>311460</v>
      </c>
      <c r="D49" s="22">
        <v>344600</v>
      </c>
      <c r="E49" s="22">
        <v>316520</v>
      </c>
      <c r="F49" s="22">
        <v>243200</v>
      </c>
      <c r="G49" s="22">
        <v>293350</v>
      </c>
      <c r="H49" s="22">
        <v>426370</v>
      </c>
    </row>
    <row r="50" spans="1:8">
      <c r="A50" s="16"/>
      <c r="B50" s="19" t="s">
        <v>384</v>
      </c>
      <c r="C50" s="22">
        <v>82610</v>
      </c>
      <c r="D50" s="22">
        <v>90300</v>
      </c>
      <c r="E50" s="22">
        <v>90040</v>
      </c>
      <c r="F50" s="22">
        <v>61640</v>
      </c>
      <c r="G50" s="22">
        <v>62730</v>
      </c>
      <c r="H50" s="22">
        <v>74260</v>
      </c>
    </row>
    <row r="51" spans="1:8">
      <c r="A51" s="16"/>
      <c r="B51" s="19" t="s">
        <v>385</v>
      </c>
      <c r="C51" s="21">
        <v>51090</v>
      </c>
      <c r="D51" s="21">
        <v>51990</v>
      </c>
      <c r="E51" s="21">
        <v>53200</v>
      </c>
      <c r="F51" s="21">
        <v>38230</v>
      </c>
      <c r="G51" s="21">
        <v>43240</v>
      </c>
      <c r="H51" s="21">
        <v>50440</v>
      </c>
    </row>
    <row r="52" spans="1:8">
      <c r="A52" s="16"/>
      <c r="B52" s="19" t="s">
        <v>386</v>
      </c>
      <c r="C52" s="21">
        <v>6.1</v>
      </c>
      <c r="D52" s="21">
        <v>6.63</v>
      </c>
      <c r="E52" s="21">
        <v>5.95</v>
      </c>
      <c r="F52" s="21">
        <v>6.3599999999999994</v>
      </c>
      <c r="G52" s="21">
        <v>6.78</v>
      </c>
      <c r="H52" s="21">
        <v>8.4500000000000011</v>
      </c>
    </row>
    <row r="53" spans="1:8">
      <c r="A53" s="16"/>
      <c r="B53" s="17"/>
      <c r="C53" s="17"/>
      <c r="D53" s="17"/>
      <c r="E53" s="17"/>
      <c r="F53" s="17"/>
      <c r="G53" s="17"/>
      <c r="H53" s="17"/>
    </row>
    <row r="54" spans="1:8">
      <c r="A54" s="23"/>
      <c r="B54" s="24" t="s">
        <v>387</v>
      </c>
      <c r="C54" s="25"/>
      <c r="D54" s="25"/>
      <c r="E54" s="25"/>
      <c r="F54" s="25"/>
      <c r="G54" s="25"/>
      <c r="H54" s="25"/>
    </row>
    <row r="55" spans="1:8">
      <c r="A55" s="16"/>
      <c r="B55" s="17"/>
      <c r="C55" s="17"/>
      <c r="D55" s="17"/>
      <c r="E55" s="17"/>
      <c r="F55" s="17"/>
      <c r="G55" s="17"/>
      <c r="H55" s="17"/>
    </row>
    <row r="56" spans="1:8">
      <c r="A56" s="16"/>
      <c r="B56" s="19" t="s">
        <v>388</v>
      </c>
      <c r="C56" s="20">
        <v>5531019</v>
      </c>
      <c r="D56" s="20">
        <v>5111968</v>
      </c>
      <c r="E56" s="20">
        <v>3986187</v>
      </c>
      <c r="F56" s="20">
        <v>3854148</v>
      </c>
      <c r="G56" s="20">
        <v>2469374</v>
      </c>
      <c r="H56" s="20">
        <v>1608138</v>
      </c>
    </row>
    <row r="57" spans="1:8">
      <c r="A57" s="16"/>
      <c r="B57" s="19" t="s">
        <v>389</v>
      </c>
      <c r="C57" s="20">
        <v>7404286</v>
      </c>
      <c r="D57" s="20">
        <v>6728202</v>
      </c>
      <c r="E57" s="20">
        <v>5613726</v>
      </c>
      <c r="F57" s="20">
        <v>4271571</v>
      </c>
      <c r="G57" s="20">
        <v>4660352</v>
      </c>
      <c r="H57" s="20">
        <v>4749844</v>
      </c>
    </row>
    <row r="58" spans="1:8">
      <c r="A58" s="16"/>
      <c r="B58" s="19" t="s">
        <v>390</v>
      </c>
      <c r="C58" s="20">
        <v>-2473254</v>
      </c>
      <c r="D58" s="20">
        <v>-937553</v>
      </c>
      <c r="E58" s="20">
        <v>-1468917</v>
      </c>
      <c r="F58" s="20">
        <v>-117788</v>
      </c>
      <c r="G58" s="20">
        <v>152817</v>
      </c>
      <c r="H58" s="20">
        <v>-287495</v>
      </c>
    </row>
    <row r="59" spans="1:8">
      <c r="A59" s="16"/>
      <c r="B59" s="19" t="s">
        <v>391</v>
      </c>
      <c r="C59" s="20">
        <v>1332612</v>
      </c>
      <c r="D59" s="20">
        <v>724419</v>
      </c>
      <c r="E59" s="20">
        <v>644115</v>
      </c>
      <c r="F59" s="20">
        <v>403882</v>
      </c>
      <c r="G59" s="20">
        <v>84438</v>
      </c>
      <c r="H59" s="20">
        <v>-50109</v>
      </c>
    </row>
    <row r="60" spans="1:8">
      <c r="A60" s="16"/>
      <c r="B60" s="19" t="s">
        <v>392</v>
      </c>
      <c r="C60" s="21">
        <v>1078947</v>
      </c>
      <c r="D60" s="21">
        <v>1129749</v>
      </c>
      <c r="E60" s="21">
        <v>1098042</v>
      </c>
      <c r="F60" s="21">
        <v>647402</v>
      </c>
      <c r="G60" s="21">
        <v>412803</v>
      </c>
      <c r="H60" s="21">
        <v>319499</v>
      </c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Export original</vt:lpstr>
      <vt:lpstr>Balance sheet</vt:lpstr>
      <vt:lpstr>Original statements</vt:lpstr>
      <vt:lpstr>Reformulated balance sheet</vt:lpstr>
      <vt:lpstr>Reformulated Income statement</vt:lpstr>
      <vt:lpstr>Cash flow</vt:lpstr>
      <vt:lpstr>Ratio</vt:lpstr>
      <vt:lpstr>Income statement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Facchinelli</dc:creator>
  <cp:lastModifiedBy>Teo Ata</cp:lastModifiedBy>
  <cp:lastPrinted>2025-11-25T18:09:18Z</cp:lastPrinted>
  <dcterms:created xsi:type="dcterms:W3CDTF">2025-10-28T08:12:43Z</dcterms:created>
  <dcterms:modified xsi:type="dcterms:W3CDTF">2026-03-18T07:50:09Z</dcterms:modified>
</cp:coreProperties>
</file>